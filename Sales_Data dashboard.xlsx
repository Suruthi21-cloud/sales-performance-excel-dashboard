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suruthisri\Downloads\"/>
    </mc:Choice>
  </mc:AlternateContent>
  <xr:revisionPtr revIDLastSave="0" documentId="13_ncr:1_{B1304A8F-1FFC-4E84-AFB5-A76EDA80E0CC}" xr6:coauthVersionLast="47" xr6:coauthVersionMax="47" xr10:uidLastSave="{00000000-0000-0000-0000-000000000000}"/>
  <bookViews>
    <workbookView xWindow="-108" yWindow="-108" windowWidth="23256" windowHeight="12456" activeTab="6" xr2:uid="{00000000-000D-0000-FFFF-FFFF00000000}"/>
  </bookViews>
  <sheets>
    <sheet name="1" sheetId="3" r:id="rId1"/>
    <sheet name="2" sheetId="4" r:id="rId2"/>
    <sheet name="3" sheetId="5" r:id="rId3"/>
    <sheet name="4" sheetId="6" r:id="rId4"/>
    <sheet name="Sheet1" sheetId="1" r:id="rId5"/>
    <sheet name="5" sheetId="7" r:id="rId6"/>
    <sheet name="6" sheetId="9" r:id="rId7"/>
    <sheet name="Sheet9" sheetId="10" r:id="rId8"/>
    <sheet name="Product" sheetId="2" r:id="rId9"/>
  </sheets>
  <definedNames>
    <definedName name="ExternalData_1" localSheetId="8" hidden="1">Product!$A$1:$I$25</definedName>
    <definedName name="Slicer_Order_Status">#N/A</definedName>
    <definedName name="Slicer_Order_Status1">#N/A</definedName>
    <definedName name="Slicer_Order_Status2">#N/A</definedName>
  </definedNames>
  <calcPr calcId="191029"/>
  <pivotCaches>
    <pivotCache cacheId="78" r:id="rId10"/>
    <pivotCache cacheId="79"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7" l="1"/>
  <c r="I9" i="7" s="1"/>
  <c r="E9" i="7"/>
  <c r="G9" i="7" s="1"/>
  <c r="M10" i="7" l="1"/>
  <c r="B1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EB1A08-3FA6-4C39-AE96-C9A63F8AC945}"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s>
</file>

<file path=xl/sharedStrings.xml><?xml version="1.0" encoding="utf-8"?>
<sst xmlns="http://schemas.openxmlformats.org/spreadsheetml/2006/main" count="351" uniqueCount="94">
  <si>
    <t>OrderID</t>
  </si>
  <si>
    <t>Date</t>
  </si>
  <si>
    <t>Region</t>
  </si>
  <si>
    <t>Product</t>
  </si>
  <si>
    <t>Quantity</t>
  </si>
  <si>
    <t>UnitPrice</t>
  </si>
  <si>
    <t>Salesperson</t>
  </si>
  <si>
    <t>TotalSales</t>
  </si>
  <si>
    <t>ORD001</t>
  </si>
  <si>
    <t>ORD002</t>
  </si>
  <si>
    <t>ORD003</t>
  </si>
  <si>
    <t>ORD004</t>
  </si>
  <si>
    <t>ORD005</t>
  </si>
  <si>
    <t>ORD006</t>
  </si>
  <si>
    <t>ORD007</t>
  </si>
  <si>
    <t>ORD008</t>
  </si>
  <si>
    <t>ORD009</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</si>
  <si>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</si>
  <si>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</si>
  <si>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</si>
  <si>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</si>
  <si>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</si>
  <si>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</si>
  <si>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</si>
  <si>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</si>
  <si>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</si>
  <si>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</si>
  <si>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</si>
  <si>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</si>
  <si>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</si>
  <si>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</si>
  <si>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</si>
  <si>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</si>
  <si>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</si>
  <si>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</si>
  <si>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</si>
  <si>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</si>
  <si>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</si>
  <si>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</si>
  <si>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</si>
  <si>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</si>
  <si>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</si>
  <si>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</si>
  <si>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</si>
  <si>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</si>
  <si>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</si>
  <si>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</si>
  <si>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north</t>
  </si>
  <si>
    <t>east</t>
  </si>
  <si>
    <t>South</t>
  </si>
  <si>
    <t>west</t>
  </si>
  <si>
    <t>West</t>
  </si>
  <si>
    <t>North</t>
  </si>
  <si>
    <t>south</t>
  </si>
  <si>
    <t>East</t>
  </si>
  <si>
    <t>Headphones</t>
  </si>
  <si>
    <t>Laptop</t>
  </si>
  <si>
    <t>Monitor</t>
  </si>
  <si>
    <t>Tablet</t>
  </si>
  <si>
    <t>Phone</t>
  </si>
  <si>
    <t>30000</t>
  </si>
  <si>
    <t>Vikram</t>
  </si>
  <si>
    <t>Rahul</t>
  </si>
  <si>
    <t>Amit</t>
  </si>
  <si>
    <t>Sneha</t>
  </si>
  <si>
    <t>Priya</t>
  </si>
  <si>
    <t>Anita</t>
  </si>
  <si>
    <t>Order Status</t>
  </si>
  <si>
    <t>Cancelled</t>
  </si>
  <si>
    <t>Completed</t>
  </si>
  <si>
    <t>Unassigned</t>
  </si>
  <si>
    <t>Others</t>
  </si>
  <si>
    <t>Sum of TotalSales</t>
  </si>
  <si>
    <t>Row Labels</t>
  </si>
  <si>
    <t>(blank)</t>
  </si>
  <si>
    <t>Grand Total</t>
  </si>
  <si>
    <t>(All)</t>
  </si>
  <si>
    <t>Product Insights</t>
  </si>
  <si>
    <t>Jan</t>
  </si>
  <si>
    <t>Mar</t>
  </si>
  <si>
    <t>May</t>
  </si>
  <si>
    <t>Jun</t>
  </si>
  <si>
    <t>Sep</t>
  </si>
  <si>
    <t>Oct</t>
  </si>
  <si>
    <t>Count of OrderID</t>
  </si>
  <si>
    <t>Total Revenue</t>
  </si>
  <si>
    <t>Total Orders</t>
  </si>
  <si>
    <t>Cancelled %</t>
  </si>
  <si>
    <t>Avg Of Order Value</t>
  </si>
  <si>
    <t>Apr</t>
  </si>
  <si>
    <t>Jul</t>
  </si>
  <si>
    <t>Aug</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</si>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</sst>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_-[$$-409]* #,##0.00_ ;_-[$$-409]* \-#,##0.00\ ;_-[$$-409]* &quot;-&quot;??_ ;_-@_ "/>
    <numFmt numFmtId="166" formatCode="_-[$$-409]* #,##0_ ;_-[$$-409]* \-#,##0\ ;_-[$$-409]* &quot;-&quot;??_ ;_-@_ "/>
    <numFmt numFmtId="167" formatCode="\$0.0,,&quot;M&quot;"/>
    <numFmt numFmtId="168" formatCode="\$0,&quot;K&quot;"/>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1" fillId="2" borderId="2" xfId="0" applyFont="1" applyFill="1" applyBorder="1"/>
    <xf numFmtId="0" fontId="0" fillId="0" borderId="0" xfId="0" pivotButton="1"/>
    <xf numFmtId="0" fontId="0" fillId="0" borderId="0" xfId="0" applyAlignment="1">
      <alignment horizontal="left"/>
    </xf>
    <xf numFmtId="10" fontId="0" fillId="0" borderId="0" xfId="1" applyNumberFormat="1" applyFont="1"/>
    <xf numFmtId="165" fontId="0" fillId="0" borderId="0" xfId="0" applyNumberFormat="1"/>
    <xf numFmtId="166" fontId="0" fillId="0" borderId="0" xfId="0" applyNumberFormat="1"/>
    <xf numFmtId="0" fontId="3" fillId="0" borderId="0" xfId="0" applyFont="1"/>
    <xf numFmtId="167" fontId="0" fillId="0" borderId="0" xfId="0" applyNumberFormat="1" applyAlignment="1">
      <alignment horizontal="center"/>
    </xf>
    <xf numFmtId="168" fontId="0" fillId="0" borderId="0" xfId="0" applyNumberFormat="1"/>
    <xf numFmtId="0" fontId="0" fillId="0" borderId="0" xfId="0" applyNumberFormat="1"/>
  </cellXfs>
  <cellStyles count="2">
    <cellStyle name="Normal" xfId="0" builtinId="0"/>
    <cellStyle name="Percent" xfId="1" builtinId="5"/>
  </cellStyles>
  <dxfs count="9">
    <dxf>
      <numFmt numFmtId="166" formatCode="_-[$$-409]* #,##0_ ;_-[$$-409]* \-#,##0\ ;_-[$$-409]* &quot;-&quot;??_ ;_-@_ "/>
    </dxf>
    <dxf>
      <numFmt numFmtId="0" formatCode="General"/>
    </dxf>
    <dxf>
      <numFmt numFmtId="166" formatCode="_-[$$-409]* #,##0_ ;_-[$$-409]* \-#,##0\ ;_-[$$-409]* &quot;-&quot;??_ ;_-@_ "/>
    </dxf>
    <dxf>
      <numFmt numFmtId="0" formatCode="General"/>
    </dxf>
    <dxf>
      <numFmt numFmtId="0" formatCode="General"/>
    </dxf>
    <dxf>
      <numFmt numFmtId="0" formatCode="General"/>
    </dxf>
    <dxf>
      <numFmt numFmtId="19" formatCode="dd/mm/yyyy"/>
    </dxf>
    <dxf>
      <numFmt numFmtId="0" formatCode="General"/>
    </dxf>
    <dxf>
      <numFmt numFmtId="166" formatCode="_-[$$-409]* #,##0_ ;_-[$$-409]* \-#,##0\ ;_-[$$-409]* &quot;-&quot;??_ ;_-@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Vs Totalsales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'1'!$B$3</c:f>
              <c:strCache>
                <c:ptCount val="1"/>
                <c:pt idx="0">
                  <c:v>Total</c:v>
                </c:pt>
              </c:strCache>
            </c:strRef>
          </c:tx>
          <c:spPr>
            <a:solidFill>
              <a:schemeClr val="accent1"/>
            </a:solidFill>
            <a:ln>
              <a:noFill/>
            </a:ln>
            <a:effectLst/>
          </c:spPr>
          <c:invertIfNegative val="0"/>
          <c:cat>
            <c:strRef>
              <c:f>'1'!$A$4:$A$10</c:f>
              <c:strCache>
                <c:ptCount val="6"/>
                <c:pt idx="0">
                  <c:v>Headphones</c:v>
                </c:pt>
                <c:pt idx="1">
                  <c:v>Laptop</c:v>
                </c:pt>
                <c:pt idx="2">
                  <c:v>Monitor</c:v>
                </c:pt>
                <c:pt idx="3">
                  <c:v>Others</c:v>
                </c:pt>
                <c:pt idx="4">
                  <c:v>Phone</c:v>
                </c:pt>
                <c:pt idx="5">
                  <c:v>Tablet</c:v>
                </c:pt>
              </c:strCache>
            </c:strRef>
          </c:cat>
          <c:val>
            <c:numRef>
              <c:f>'1'!$B$4:$B$10</c:f>
              <c:numCache>
                <c:formatCode>General</c:formatCode>
                <c:ptCount val="6"/>
                <c:pt idx="0">
                  <c:v>24563</c:v>
                </c:pt>
                <c:pt idx="1">
                  <c:v>0</c:v>
                </c:pt>
                <c:pt idx="2">
                  <c:v>557010</c:v>
                </c:pt>
                <c:pt idx="3">
                  <c:v>99969</c:v>
                </c:pt>
                <c:pt idx="4">
                  <c:v>540000</c:v>
                </c:pt>
                <c:pt idx="5">
                  <c:v>1015745</c:v>
                </c:pt>
              </c:numCache>
            </c:numRef>
          </c:val>
          <c:extLst>
            <c:ext xmlns:c16="http://schemas.microsoft.com/office/drawing/2014/chart" uri="{C3380CC4-5D6E-409C-BE32-E72D297353CC}">
              <c16:uniqueId val="{00000000-BADA-487A-AA7A-378E5093838D}"/>
            </c:ext>
          </c:extLst>
        </c:ser>
        <c:dLbls>
          <c:showLegendKey val="0"/>
          <c:showVal val="0"/>
          <c:showCatName val="0"/>
          <c:showSerName val="0"/>
          <c:showPercent val="0"/>
          <c:showBubbleSize val="0"/>
        </c:dLbls>
        <c:gapWidth val="182"/>
        <c:axId val="1380586944"/>
        <c:axId val="1380586464"/>
      </c:barChart>
      <c:catAx>
        <c:axId val="138058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86464"/>
        <c:crosses val="autoZero"/>
        <c:auto val="1"/>
        <c:lblAlgn val="ctr"/>
        <c:lblOffset val="100"/>
        <c:noMultiLvlLbl val="0"/>
      </c:catAx>
      <c:valAx>
        <c:axId val="138058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8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Vs Totalsales</a:t>
            </a:r>
            <a:endParaRPr lang="en-US" b="1"/>
          </a:p>
        </c:rich>
      </c:tx>
      <c:layout>
        <c:manualLayout>
          <c:xMode val="edge"/>
          <c:yMode val="edge"/>
          <c:x val="0.3371734470691163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779E-3"/>
              <c:y val="-0.180555373286672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8222222222222225E-2"/>
                  <c:h val="6.4745552639253412E-2"/>
                </c:manualLayout>
              </c15:layout>
            </c:ext>
          </c:extLst>
        </c:dLbl>
      </c:pivotFmt>
      <c:pivotFmt>
        <c:idx val="2"/>
        <c:spPr>
          <a:solidFill>
            <a:schemeClr val="accent1"/>
          </a:solidFill>
          <a:ln>
            <a:noFill/>
          </a:ln>
          <a:effectLst/>
        </c:spPr>
        <c:dLbl>
          <c:idx val="0"/>
          <c:layout>
            <c:manualLayout>
              <c:x val="-1.0185067526415994E-16"/>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267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29C7-49B4-A2A6-0ED9FE764150}"/>
              </c:ext>
            </c:extLst>
          </c:dPt>
          <c:dPt>
            <c:idx val="1"/>
            <c:invertIfNegative val="0"/>
            <c:bubble3D val="0"/>
            <c:extLst>
              <c:ext xmlns:c16="http://schemas.microsoft.com/office/drawing/2014/chart" uri="{C3380CC4-5D6E-409C-BE32-E72D297353CC}">
                <c16:uniqueId val="{00000004-29C7-49B4-A2A6-0ED9FE764150}"/>
              </c:ext>
            </c:extLst>
          </c:dPt>
          <c:dPt>
            <c:idx val="2"/>
            <c:invertIfNegative val="0"/>
            <c:bubble3D val="0"/>
            <c:extLst>
              <c:ext xmlns:c16="http://schemas.microsoft.com/office/drawing/2014/chart" uri="{C3380CC4-5D6E-409C-BE32-E72D297353CC}">
                <c16:uniqueId val="{00000002-29C7-49B4-A2A6-0ED9FE764150}"/>
              </c:ext>
            </c:extLst>
          </c:dPt>
          <c:dPt>
            <c:idx val="3"/>
            <c:invertIfNegative val="0"/>
            <c:bubble3D val="0"/>
            <c:extLst>
              <c:ext xmlns:c16="http://schemas.microsoft.com/office/drawing/2014/chart" uri="{C3380CC4-5D6E-409C-BE32-E72D297353CC}">
                <c16:uniqueId val="{00000003-29C7-49B4-A2A6-0ED9FE764150}"/>
              </c:ext>
            </c:extLst>
          </c:dPt>
          <c:dLbls>
            <c:dLbl>
              <c:idx val="0"/>
              <c:layout>
                <c:manualLayout>
                  <c:x val="0"/>
                  <c:y val="-0.171296296296296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C7-49B4-A2A6-0ED9FE764150}"/>
                </c:ext>
              </c:extLst>
            </c:dLbl>
            <c:dLbl>
              <c:idx val="1"/>
              <c:layout>
                <c:manualLayout>
                  <c:x val="2.7777777777777267E-3"/>
                  <c:y val="-0.143518518518518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C7-49B4-A2A6-0ED9FE764150}"/>
                </c:ext>
              </c:extLst>
            </c:dLbl>
            <c:dLbl>
              <c:idx val="2"/>
              <c:layout>
                <c:manualLayout>
                  <c:x val="2.7777777777777779E-3"/>
                  <c:y val="-0.18055537328667251"/>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9.8222222222222225E-2"/>
                      <c:h val="6.4745552639253412E-2"/>
                    </c:manualLayout>
                  </c15:layout>
                </c:ext>
                <c:ext xmlns:c16="http://schemas.microsoft.com/office/drawing/2014/chart" uri="{C3380CC4-5D6E-409C-BE32-E72D297353CC}">
                  <c16:uniqueId val="{00000002-29C7-49B4-A2A6-0ED9FE764150}"/>
                </c:ext>
              </c:extLst>
            </c:dLbl>
            <c:dLbl>
              <c:idx val="3"/>
              <c:layout>
                <c:manualLayout>
                  <c:x val="-1.0185067526415994E-16"/>
                  <c:y val="-0.287037037037037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C7-49B4-A2A6-0ED9FE7641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'2'!$A$4:$A$8</c:f>
              <c:strCache>
                <c:ptCount val="4"/>
                <c:pt idx="0">
                  <c:v>East</c:v>
                </c:pt>
                <c:pt idx="1">
                  <c:v>North</c:v>
                </c:pt>
                <c:pt idx="2">
                  <c:v>South</c:v>
                </c:pt>
                <c:pt idx="3">
                  <c:v>West</c:v>
                </c:pt>
              </c:strCache>
            </c:strRef>
          </c:cat>
          <c:val>
            <c:numRef>
              <c:f>'2'!$B$4:$B$8</c:f>
              <c:numCache>
                <c:formatCode>General</c:formatCode>
                <c:ptCount val="4"/>
                <c:pt idx="0">
                  <c:v>445745</c:v>
                </c:pt>
                <c:pt idx="1">
                  <c:v>364532</c:v>
                </c:pt>
                <c:pt idx="2">
                  <c:v>510000</c:v>
                </c:pt>
                <c:pt idx="3">
                  <c:v>917010</c:v>
                </c:pt>
              </c:numCache>
            </c:numRef>
          </c:val>
          <c:extLst>
            <c:ext xmlns:c16="http://schemas.microsoft.com/office/drawing/2014/chart" uri="{C3380CC4-5D6E-409C-BE32-E72D297353CC}">
              <c16:uniqueId val="{00000000-29C7-49B4-A2A6-0ED9FE764150}"/>
            </c:ext>
          </c:extLst>
        </c:ser>
        <c:dLbls>
          <c:dLblPos val="ctr"/>
          <c:showLegendKey val="0"/>
          <c:showVal val="1"/>
          <c:showCatName val="0"/>
          <c:showSerName val="0"/>
          <c:showPercent val="0"/>
          <c:showBubbleSize val="0"/>
        </c:dLbls>
        <c:gapWidth val="150"/>
        <c:overlap val="100"/>
        <c:axId val="1632384480"/>
        <c:axId val="1632386400"/>
      </c:barChart>
      <c:catAx>
        <c:axId val="16323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86400"/>
        <c:crosses val="autoZero"/>
        <c:auto val="1"/>
        <c:lblAlgn val="ctr"/>
        <c:lblOffset val="100"/>
        <c:noMultiLvlLbl val="0"/>
      </c:catAx>
      <c:valAx>
        <c:axId val="163238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8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'3'!$B$3</c:f>
              <c:strCache>
                <c:ptCount val="1"/>
                <c:pt idx="0">
                  <c:v>Total</c:v>
                </c:pt>
              </c:strCache>
            </c:strRef>
          </c:tx>
          <c:spPr>
            <a:ln w="28575" cap="rnd">
              <a:solidFill>
                <a:schemeClr val="accent1"/>
              </a:solidFill>
              <a:round/>
            </a:ln>
            <a:effectLst/>
          </c:spPr>
          <c:marker>
            <c:symbol val="none"/>
          </c:marker>
          <c:cat>
            <c:strRef>
              <c:f>'3'!$A$4:$A$15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'3'!$B$4:$B$15</c:f>
              <c:numCache>
                <c:formatCode>General</c:formatCode>
                <c:ptCount val="11"/>
                <c:pt idx="0">
                  <c:v>286040</c:v>
                </c:pt>
                <c:pt idx="1">
                  <c:v>540000</c:v>
                </c:pt>
                <c:pt idx="2">
                  <c:v>0</c:v>
                </c:pt>
                <c:pt idx="3">
                  <c:v>300000</c:v>
                </c:pt>
                <c:pt idx="4">
                  <c:v>370939</c:v>
                </c:pt>
                <c:pt idx="5">
                  <c:v>0</c:v>
                </c:pt>
                <c:pt idx="6">
                  <c:v>0</c:v>
                </c:pt>
                <c:pt idx="7">
                  <c:v>715745</c:v>
                </c:pt>
                <c:pt idx="8">
                  <c:v>24563</c:v>
                </c:pt>
                <c:pt idx="9">
                  <c:v>0</c:v>
                </c:pt>
                <c:pt idx="10">
                  <c:v>0</c:v>
                </c:pt>
              </c:numCache>
            </c:numRef>
          </c:val>
          <c:smooth val="0"/>
          <c:extLst>
            <c:ext xmlns:c16="http://schemas.microsoft.com/office/drawing/2014/chart" uri="{C3380CC4-5D6E-409C-BE32-E72D297353CC}">
              <c16:uniqueId val="{00000000-73B5-49FA-B3FF-084CF4E8CA50}"/>
            </c:ext>
          </c:extLst>
        </c:ser>
        <c:dLbls>
          <c:showLegendKey val="0"/>
          <c:showVal val="0"/>
          <c:showCatName val="0"/>
          <c:showSerName val="0"/>
          <c:showPercent val="0"/>
          <c:showBubbleSize val="0"/>
        </c:dLbls>
        <c:smooth val="0"/>
        <c:axId val="219406703"/>
        <c:axId val="219423503"/>
      </c:lineChart>
      <c:catAx>
        <c:axId val="2194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23503"/>
        <c:crosses val="autoZero"/>
        <c:auto val="1"/>
        <c:lblAlgn val="ctr"/>
        <c:lblOffset val="100"/>
        <c:noMultiLvlLbl val="0"/>
      </c:catAx>
      <c:valAx>
        <c:axId val="21942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Person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'4'!$C$4</c:f>
              <c:strCache>
                <c:ptCount val="1"/>
                <c:pt idx="0">
                  <c:v>Total</c:v>
                </c:pt>
              </c:strCache>
            </c:strRef>
          </c:tx>
          <c:spPr>
            <a:solidFill>
              <a:schemeClr val="accent1"/>
            </a:solidFill>
            <a:ln>
              <a:noFill/>
            </a:ln>
            <a:effectLst/>
          </c:spPr>
          <c:invertIfNegative val="0"/>
          <c:cat>
            <c:strRef>
              <c:f>'4'!$B$5:$B$11</c:f>
              <c:strCache>
                <c:ptCount val="6"/>
                <c:pt idx="0">
                  <c:v>Amit</c:v>
                </c:pt>
                <c:pt idx="1">
                  <c:v>Anita</c:v>
                </c:pt>
                <c:pt idx="2">
                  <c:v>Priya</c:v>
                </c:pt>
                <c:pt idx="3">
                  <c:v>Sneha</c:v>
                </c:pt>
                <c:pt idx="4">
                  <c:v>Unassigned</c:v>
                </c:pt>
                <c:pt idx="5">
                  <c:v>Vikram</c:v>
                </c:pt>
              </c:strCache>
            </c:strRef>
          </c:cat>
          <c:val>
            <c:numRef>
              <c:f>'4'!$C$5:$C$11</c:f>
              <c:numCache>
                <c:formatCode>General</c:formatCode>
                <c:ptCount val="6"/>
                <c:pt idx="0">
                  <c:v>270000</c:v>
                </c:pt>
                <c:pt idx="1">
                  <c:v>99969</c:v>
                </c:pt>
                <c:pt idx="2">
                  <c:v>24563</c:v>
                </c:pt>
                <c:pt idx="3">
                  <c:v>270970</c:v>
                </c:pt>
                <c:pt idx="4">
                  <c:v>826040</c:v>
                </c:pt>
                <c:pt idx="5">
                  <c:v>745745</c:v>
                </c:pt>
              </c:numCache>
            </c:numRef>
          </c:val>
          <c:extLst>
            <c:ext xmlns:c16="http://schemas.microsoft.com/office/drawing/2014/chart" uri="{C3380CC4-5D6E-409C-BE32-E72D297353CC}">
              <c16:uniqueId val="{00000000-0295-478D-97BC-42C86FB200C1}"/>
            </c:ext>
          </c:extLst>
        </c:ser>
        <c:dLbls>
          <c:showLegendKey val="0"/>
          <c:showVal val="0"/>
          <c:showCatName val="0"/>
          <c:showSerName val="0"/>
          <c:showPercent val="0"/>
          <c:showBubbleSize val="0"/>
        </c:dLbls>
        <c:gapWidth val="219"/>
        <c:overlap val="-27"/>
        <c:axId val="219426863"/>
        <c:axId val="219427343"/>
      </c:barChart>
      <c:catAx>
        <c:axId val="21942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27343"/>
        <c:crosses val="autoZero"/>
        <c:auto val="1"/>
        <c:lblAlgn val="ctr"/>
        <c:lblOffset val="100"/>
        <c:noMultiLvlLbl val="0"/>
      </c:catAx>
      <c:valAx>
        <c:axId val="21942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2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3827529853742722"/>
          <c:y val="0.2693068828772664"/>
          <c:w val="0.32785408598020599"/>
          <c:h val="0.60523857765504285"/>
        </c:manualLayout>
      </c:layout>
      <c:pieChart>
        <c:varyColors val="1"/>
        <c:ser>
          <c:idx val="0"/>
          <c:order val="0"/>
          <c:tx>
            <c:strRef>
              <c:f>'5'!$B$1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B5B-443F-8248-706631A1E1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5B-443F-8248-706631A1E1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DA-4A9F-9115-C4280AB918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'5'!$A$2:$A$5</c:f>
              <c:strCache>
                <c:ptCount val="3"/>
                <c:pt idx="0">
                  <c:v>Cancelled</c:v>
                </c:pt>
                <c:pt idx="1">
                  <c:v>Completed</c:v>
                </c:pt>
                <c:pt idx="2">
                  <c:v>(blank)</c:v>
                </c:pt>
              </c:strCache>
            </c:strRef>
          </c:cat>
          <c:val>
            <c:numRef>
              <c:f>'5'!$B$2:$B$5</c:f>
              <c:numCache>
                <c:formatCode>General</c:formatCode>
                <c:ptCount val="3"/>
                <c:pt idx="0">
                  <c:v>13</c:v>
                </c:pt>
                <c:pt idx="1">
                  <c:v>11</c:v>
                </c:pt>
              </c:numCache>
            </c:numRef>
          </c:val>
          <c:extLst>
            <c:ext xmlns:c16="http://schemas.microsoft.com/office/drawing/2014/chart" uri="{C3380CC4-5D6E-409C-BE32-E72D297353CC}">
              <c16:uniqueId val="{00000000-AB5B-443F-8248-706631A1E17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'1'!$B$3</c:f>
              <c:strCache>
                <c:ptCount val="1"/>
                <c:pt idx="0">
                  <c:v>Total</c:v>
                </c:pt>
              </c:strCache>
            </c:strRef>
          </c:tx>
          <c:spPr>
            <a:solidFill>
              <a:schemeClr val="accent1"/>
            </a:solidFill>
            <a:ln>
              <a:noFill/>
            </a:ln>
            <a:effectLst/>
          </c:spPr>
          <c:invertIfNegative val="0"/>
          <c:cat>
            <c:strRef>
              <c:f>'1'!$A$4:$A$10</c:f>
              <c:strCache>
                <c:ptCount val="6"/>
                <c:pt idx="0">
                  <c:v>Headphones</c:v>
                </c:pt>
                <c:pt idx="1">
                  <c:v>Laptop</c:v>
                </c:pt>
                <c:pt idx="2">
                  <c:v>Monitor</c:v>
                </c:pt>
                <c:pt idx="3">
                  <c:v>Others</c:v>
                </c:pt>
                <c:pt idx="4">
                  <c:v>Phone</c:v>
                </c:pt>
                <c:pt idx="5">
                  <c:v>Tablet</c:v>
                </c:pt>
              </c:strCache>
            </c:strRef>
          </c:cat>
          <c:val>
            <c:numRef>
              <c:f>'1'!$B$4:$B$10</c:f>
              <c:numCache>
                <c:formatCode>General</c:formatCode>
                <c:ptCount val="6"/>
                <c:pt idx="0">
                  <c:v>24563</c:v>
                </c:pt>
                <c:pt idx="1">
                  <c:v>0</c:v>
                </c:pt>
                <c:pt idx="2">
                  <c:v>557010</c:v>
                </c:pt>
                <c:pt idx="3">
                  <c:v>99969</c:v>
                </c:pt>
                <c:pt idx="4">
                  <c:v>540000</c:v>
                </c:pt>
                <c:pt idx="5">
                  <c:v>1015745</c:v>
                </c:pt>
              </c:numCache>
            </c:numRef>
          </c:val>
          <c:extLst>
            <c:ext xmlns:c16="http://schemas.microsoft.com/office/drawing/2014/chart" uri="{C3380CC4-5D6E-409C-BE32-E72D297353CC}">
              <c16:uniqueId val="{00000000-5A73-477E-9819-6EF4A93E6CF6}"/>
            </c:ext>
          </c:extLst>
        </c:ser>
        <c:dLbls>
          <c:showLegendKey val="0"/>
          <c:showVal val="0"/>
          <c:showCatName val="0"/>
          <c:showSerName val="0"/>
          <c:showPercent val="0"/>
          <c:showBubbleSize val="0"/>
        </c:dLbls>
        <c:gapWidth val="182"/>
        <c:axId val="1380586944"/>
        <c:axId val="1380586464"/>
      </c:barChart>
      <c:catAx>
        <c:axId val="138058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86464"/>
        <c:crosses val="autoZero"/>
        <c:auto val="1"/>
        <c:lblAlgn val="ctr"/>
        <c:lblOffset val="100"/>
        <c:noMultiLvlLbl val="0"/>
      </c:catAx>
      <c:valAx>
        <c:axId val="138058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8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al Analysis</a:t>
            </a:r>
            <a:endParaRPr lang="en-US" b="1"/>
          </a:p>
        </c:rich>
      </c:tx>
      <c:layout>
        <c:manualLayout>
          <c:xMode val="edge"/>
          <c:yMode val="edge"/>
          <c:x val="0.3371734470691163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779E-3"/>
              <c:y val="-0.180555373286672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8222222222222225E-2"/>
                  <c:h val="6.4745552639253412E-2"/>
                </c:manualLayout>
              </c15:layout>
            </c:ext>
          </c:extLst>
        </c:dLbl>
      </c:pivotFmt>
      <c:pivotFmt>
        <c:idx val="2"/>
        <c:spPr>
          <a:solidFill>
            <a:schemeClr val="accent1"/>
          </a:solidFill>
          <a:ln>
            <a:noFill/>
          </a:ln>
          <a:effectLst/>
        </c:spPr>
        <c:dLbl>
          <c:idx val="0"/>
          <c:layout>
            <c:manualLayout>
              <c:x val="-1.0185067526415994E-16"/>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267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267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180555373286672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8222222222222225E-2"/>
                  <c:h val="6.4745552639253412E-2"/>
                </c:manualLayout>
              </c15:layout>
            </c:ext>
          </c:extLst>
        </c:dLbl>
      </c:pivotFmt>
      <c:pivotFmt>
        <c:idx val="9"/>
        <c:spPr>
          <a:solidFill>
            <a:schemeClr val="accent1"/>
          </a:solidFill>
          <a:ln>
            <a:noFill/>
          </a:ln>
          <a:effectLst/>
        </c:spPr>
        <c:dLbl>
          <c:idx val="0"/>
          <c:layout>
            <c:manualLayout>
              <c:x val="-1.0185067526415994E-16"/>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7267E-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7777777777777779E-3"/>
              <c:y val="-0.180555373286672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8222222222222225E-2"/>
                  <c:h val="6.4745552639253412E-2"/>
                </c:manualLayout>
              </c15:layout>
            </c:ext>
          </c:extLst>
        </c:dLbl>
      </c:pivotFmt>
      <c:pivotFmt>
        <c:idx val="14"/>
        <c:spPr>
          <a:solidFill>
            <a:schemeClr val="accent1"/>
          </a:solidFill>
          <a:ln>
            <a:noFill/>
          </a:ln>
          <a:effectLst/>
        </c:spPr>
        <c:dLbl>
          <c:idx val="0"/>
          <c:layout>
            <c:manualLayout>
              <c:x val="-1.0185067526415994E-16"/>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6E32-43A4-A099-2A30EAA395E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6E32-43A4-A099-2A30EAA395E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6E32-43A4-A099-2A30EAA395E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6E32-43A4-A099-2A30EAA395E9}"/>
              </c:ext>
            </c:extLst>
          </c:dPt>
          <c:dLbls>
            <c:dLbl>
              <c:idx val="0"/>
              <c:layout>
                <c:manualLayout>
                  <c:x val="0"/>
                  <c:y val="-0.171296296296296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32-43A4-A099-2A30EAA395E9}"/>
                </c:ext>
              </c:extLst>
            </c:dLbl>
            <c:dLbl>
              <c:idx val="1"/>
              <c:layout>
                <c:manualLayout>
                  <c:x val="2.7777777777777267E-3"/>
                  <c:y val="-0.143518518518518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32-43A4-A099-2A30EAA395E9}"/>
                </c:ext>
              </c:extLst>
            </c:dLbl>
            <c:dLbl>
              <c:idx val="2"/>
              <c:layout>
                <c:manualLayout>
                  <c:x val="2.7777777777777779E-3"/>
                  <c:y val="-0.18055537328667251"/>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9.8222222222222225E-2"/>
                      <c:h val="6.4745552639253412E-2"/>
                    </c:manualLayout>
                  </c15:layout>
                </c:ext>
                <c:ext xmlns:c16="http://schemas.microsoft.com/office/drawing/2014/chart" uri="{C3380CC4-5D6E-409C-BE32-E72D297353CC}">
                  <c16:uniqueId val="{00000002-6E32-43A4-A099-2A30EAA395E9}"/>
                </c:ext>
              </c:extLst>
            </c:dLbl>
            <c:dLbl>
              <c:idx val="3"/>
              <c:layout>
                <c:manualLayout>
                  <c:x val="-1.0185067526415994E-16"/>
                  <c:y val="-0.287037037037037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32-43A4-A099-2A30EAA395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'2'!$A$4:$A$8</c:f>
              <c:strCache>
                <c:ptCount val="4"/>
                <c:pt idx="0">
                  <c:v>East</c:v>
                </c:pt>
                <c:pt idx="1">
                  <c:v>North</c:v>
                </c:pt>
                <c:pt idx="2">
                  <c:v>South</c:v>
                </c:pt>
                <c:pt idx="3">
                  <c:v>West</c:v>
                </c:pt>
              </c:strCache>
            </c:strRef>
          </c:cat>
          <c:val>
            <c:numRef>
              <c:f>'2'!$B$4:$B$8</c:f>
              <c:numCache>
                <c:formatCode>General</c:formatCode>
                <c:ptCount val="4"/>
                <c:pt idx="0">
                  <c:v>445745</c:v>
                </c:pt>
                <c:pt idx="1">
                  <c:v>364532</c:v>
                </c:pt>
                <c:pt idx="2">
                  <c:v>510000</c:v>
                </c:pt>
                <c:pt idx="3">
                  <c:v>917010</c:v>
                </c:pt>
              </c:numCache>
            </c:numRef>
          </c:val>
          <c:extLst>
            <c:ext xmlns:c16="http://schemas.microsoft.com/office/drawing/2014/chart" uri="{C3380CC4-5D6E-409C-BE32-E72D297353CC}">
              <c16:uniqueId val="{00000004-6E32-43A4-A099-2A30EAA395E9}"/>
            </c:ext>
          </c:extLst>
        </c:ser>
        <c:dLbls>
          <c:dLblPos val="ctr"/>
          <c:showLegendKey val="0"/>
          <c:showVal val="1"/>
          <c:showCatName val="0"/>
          <c:showSerName val="0"/>
          <c:showPercent val="0"/>
          <c:showBubbleSize val="0"/>
        </c:dLbls>
        <c:gapWidth val="150"/>
        <c:overlap val="100"/>
        <c:axId val="1632384480"/>
        <c:axId val="1632386400"/>
      </c:barChart>
      <c:catAx>
        <c:axId val="16323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86400"/>
        <c:crosses val="autoZero"/>
        <c:auto val="1"/>
        <c:lblAlgn val="ctr"/>
        <c:lblOffset val="100"/>
        <c:noMultiLvlLbl val="0"/>
      </c:catAx>
      <c:valAx>
        <c:axId val="163238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8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'3'!$B$3</c:f>
              <c:strCache>
                <c:ptCount val="1"/>
                <c:pt idx="0">
                  <c:v>Total</c:v>
                </c:pt>
              </c:strCache>
            </c:strRef>
          </c:tx>
          <c:spPr>
            <a:ln w="28575" cap="rnd">
              <a:solidFill>
                <a:schemeClr val="accent1"/>
              </a:solidFill>
              <a:round/>
            </a:ln>
            <a:effectLst/>
          </c:spPr>
          <c:marker>
            <c:symbol val="none"/>
          </c:marker>
          <c:cat>
            <c:strRef>
              <c:f>'3'!$A$4:$A$15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'3'!$B$4:$B$15</c:f>
              <c:numCache>
                <c:formatCode>General</c:formatCode>
                <c:ptCount val="11"/>
                <c:pt idx="0">
                  <c:v>286040</c:v>
                </c:pt>
                <c:pt idx="1">
                  <c:v>540000</c:v>
                </c:pt>
                <c:pt idx="2">
                  <c:v>0</c:v>
                </c:pt>
                <c:pt idx="3">
                  <c:v>300000</c:v>
                </c:pt>
                <c:pt idx="4">
                  <c:v>370939</c:v>
                </c:pt>
                <c:pt idx="5">
                  <c:v>0</c:v>
                </c:pt>
                <c:pt idx="6">
                  <c:v>0</c:v>
                </c:pt>
                <c:pt idx="7">
                  <c:v>715745</c:v>
                </c:pt>
                <c:pt idx="8">
                  <c:v>24563</c:v>
                </c:pt>
                <c:pt idx="9">
                  <c:v>0</c:v>
                </c:pt>
                <c:pt idx="10">
                  <c:v>0</c:v>
                </c:pt>
              </c:numCache>
            </c:numRef>
          </c:val>
          <c:smooth val="0"/>
          <c:extLst>
            <c:ext xmlns:c16="http://schemas.microsoft.com/office/drawing/2014/chart" uri="{C3380CC4-5D6E-409C-BE32-E72D297353CC}">
              <c16:uniqueId val="{00000000-DA58-48BD-8580-02FF781F5F1E}"/>
            </c:ext>
          </c:extLst>
        </c:ser>
        <c:dLbls>
          <c:showLegendKey val="0"/>
          <c:showVal val="0"/>
          <c:showCatName val="0"/>
          <c:showSerName val="0"/>
          <c:showPercent val="0"/>
          <c:showBubbleSize val="0"/>
        </c:dLbls>
        <c:smooth val="0"/>
        <c:axId val="219406703"/>
        <c:axId val="219423503"/>
      </c:lineChart>
      <c:catAx>
        <c:axId val="2194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23503"/>
        <c:crosses val="autoZero"/>
        <c:auto val="1"/>
        <c:lblAlgn val="ctr"/>
        <c:lblOffset val="100"/>
        <c:noMultiLvlLbl val="0"/>
      </c:catAx>
      <c:valAx>
        <c:axId val="21942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[Dirty_Sales_Data dashboard.xlsx]4!PivotTable4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Person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'4'!$C$4</c:f>
              <c:strCache>
                <c:ptCount val="1"/>
                <c:pt idx="0">
                  <c:v>Total</c:v>
                </c:pt>
              </c:strCache>
            </c:strRef>
          </c:tx>
          <c:spPr>
            <a:solidFill>
              <a:schemeClr val="accent1"/>
            </a:solidFill>
            <a:ln>
              <a:noFill/>
            </a:ln>
            <a:effectLst/>
          </c:spPr>
          <c:invertIfNegative val="0"/>
          <c:cat>
            <c:strRef>
              <c:f>'4'!$B$5:$B$11</c:f>
              <c:strCache>
                <c:ptCount val="6"/>
                <c:pt idx="0">
                  <c:v>Amit</c:v>
                </c:pt>
                <c:pt idx="1">
                  <c:v>Anita</c:v>
                </c:pt>
                <c:pt idx="2">
                  <c:v>Priya</c:v>
                </c:pt>
                <c:pt idx="3">
                  <c:v>Sneha</c:v>
                </c:pt>
                <c:pt idx="4">
                  <c:v>Unassigned</c:v>
                </c:pt>
                <c:pt idx="5">
                  <c:v>Vikram</c:v>
                </c:pt>
              </c:strCache>
            </c:strRef>
          </c:cat>
          <c:val>
            <c:numRef>
              <c:f>'4'!$C$5:$C$11</c:f>
              <c:numCache>
                <c:formatCode>General</c:formatCode>
                <c:ptCount val="6"/>
                <c:pt idx="0">
                  <c:v>270000</c:v>
                </c:pt>
                <c:pt idx="1">
                  <c:v>99969</c:v>
                </c:pt>
                <c:pt idx="2">
                  <c:v>24563</c:v>
                </c:pt>
                <c:pt idx="3">
                  <c:v>270970</c:v>
                </c:pt>
                <c:pt idx="4">
                  <c:v>826040</c:v>
                </c:pt>
                <c:pt idx="5">
                  <c:v>745745</c:v>
                </c:pt>
              </c:numCache>
            </c:numRef>
          </c:val>
          <c:extLst>
            <c:ext xmlns:c16="http://schemas.microsoft.com/office/drawing/2014/chart" uri="{C3380CC4-5D6E-409C-BE32-E72D297353CC}">
              <c16:uniqueId val="{00000000-08DF-4DD1-9C60-2CC89BF8635B}"/>
            </c:ext>
          </c:extLst>
        </c:ser>
        <c:dLbls>
          <c:showLegendKey val="0"/>
          <c:showVal val="0"/>
          <c:showCatName val="0"/>
          <c:showSerName val="0"/>
          <c:showPercent val="0"/>
          <c:showBubbleSize val="0"/>
        </c:dLbls>
        <c:gapWidth val="219"/>
        <c:overlap val="-27"/>
        <c:axId val="219426863"/>
        <c:axId val="219427343"/>
      </c:barChart>
      <c:catAx>
        <c:axId val="21942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27343"/>
        <c:crosses val="autoZero"/>
        <c:auto val="1"/>
        <c:lblAlgn val="ctr"/>
        <c:lblOffset val="100"/>
        <c:noMultiLvlLbl val="0"/>
      </c:catAx>
      <c:valAx>
        <c:axId val="21942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2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[Dirty_Sales_Data dashboard.xlsx]5!PivotTable5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Cancellation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s>
    <c:plotArea>
      <c:layout>
        <c:manualLayout>
          <c:layoutTarget val="inner"/>
          <c:xMode val="edge"/>
          <c:yMode val="edge"/>
          <c:x val="0.33827529853742722"/>
          <c:y val="0.2693068828772664"/>
          <c:w val="0.32785408598020599"/>
          <c:h val="0.60523857765504285"/>
        </c:manualLayout>
      </c:layout>
      <c:pieChart>
        <c:varyColors val="1"/>
        <c:ser>
          <c:idx val="0"/>
          <c:order val="0"/>
          <c:tx>
            <c:strRef>
              <c:f>'5'!$B$1</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9F3E-43DD-B2C7-A503F0E25A5E}"/>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9F3E-43DD-B2C7-A503F0E25A5E}"/>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DE89-4AC3-955D-346F6EE142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'5'!$A$2:$A$5</c:f>
              <c:strCache>
                <c:ptCount val="3"/>
                <c:pt idx="0">
                  <c:v>Cancelled</c:v>
                </c:pt>
                <c:pt idx="1">
                  <c:v>Completed</c:v>
                </c:pt>
                <c:pt idx="2">
                  <c:v>(blank)</c:v>
                </c:pt>
              </c:strCache>
            </c:strRef>
          </c:cat>
          <c:val>
            <c:numRef>
              <c:f>'5'!$B$2:$B$5</c:f>
              <c:numCache>
                <c:formatCode>General</c:formatCode>
                <c:ptCount val="3"/>
                <c:pt idx="0">
                  <c:v>13</c:v>
                </c:pt>
                <c:pt idx="1">
                  <c:v>11</c:v>
                </c:pt>
              </c:numCache>
            </c:numRef>
          </c:val>
          <c:extLst>
            <c:ext xmlns:c16="http://schemas.microsoft.com/office/drawing/2014/chart" uri="{C3380CC4-5D6E-409C-BE32-E72D297353CC}">
              <c16:uniqueId val="{00000004-9F3E-43DD-B2C7-A503F0E25A5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541020</xdr:colOff>
      <xdr:row>10</xdr:row>
      <xdr:rowOff>106680</xdr:rowOff>
    </xdr:from>
    <xdr:to>
      <xdr:col>5</xdr:col>
      <xdr:colOff>541020</xdr:colOff>
      <xdr:row>24</xdr:row>
      <xdr:rowOff>13335</xdr:rowOff>
    </xdr:to>
    <mc:AlternateContent xmlns:mc="http://schemas.openxmlformats.org/markup-compatibility/2006" xmlns:a14="http://schemas.microsoft.com/office/drawing/2010/main">
      <mc:Choice Requires="a14">
        <xdr:graphicFrame macro="">
          <xdr:nvGraphicFramePr>
            <xdr:cNvPr id="2" name="Order Status">
              <a:extLst>
                <a:ext uri="{FF2B5EF4-FFF2-40B4-BE49-F238E27FC236}">
                  <a16:creationId xmlns:a16="http://schemas.microsoft.com/office/drawing/2014/main" id="{7F463594-8821-18B7-E73A-AEBB43A591FB}"/>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2499360" y="1935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586740</xdr:colOff>
      <xdr:row>3</xdr:row>
      <xdr:rowOff>72390</xdr:rowOff>
    </xdr:from>
    <xdr:to>
      <xdr:col>13</xdr:col>
      <xdr:colOff>281940</xdr:colOff>
      <xdr:row>18</xdr:row>
      <xdr:rowOff>72390</xdr:rowOff>
    </xdr:to>
    <xdr:graphicFrame macro="">
      <xdr:nvGraphicFramePr>
        <xdr:cNvPr id="3" name="Chart 2">
          <a:extLst>
            <a:ext uri="{FF2B5EF4-FFF2-40B4-BE49-F238E27FC236}">
              <a16:creationId xmlns:a16="http://schemas.microsoft.com/office/drawing/2014/main" id="{34853F24-9500-9505-A39E-9B78362F9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184868</xdr:colOff>
      <xdr:row>3</xdr:row>
      <xdr:rowOff>54003</xdr:rowOff>
    </xdr:from>
    <xdr:to>
      <xdr:col>5</xdr:col>
      <xdr:colOff>184868</xdr:colOff>
      <xdr:row>16</xdr:row>
      <xdr:rowOff>143538</xdr:rowOff>
    </xdr:to>
    <mc:AlternateContent xmlns:mc="http://schemas.openxmlformats.org/markup-compatibility/2006" xmlns:a14="http://schemas.microsoft.com/office/drawing/2010/main">
      <mc:Choice Requires="a14">
        <xdr:graphicFrame macro="">
          <xdr:nvGraphicFramePr>
            <xdr:cNvPr id="2" name="Order Status 1">
              <a:extLst>
                <a:ext uri="{FF2B5EF4-FFF2-40B4-BE49-F238E27FC236}">
                  <a16:creationId xmlns:a16="http://schemas.microsoft.com/office/drawing/2014/main" id="{ECB6A3E9-261B-894F-1647-F3317BD231C8}"/>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2146190" y="610594"/>
              <a:ext cx="1828800" cy="2501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430695</xdr:colOff>
      <xdr:row>1</xdr:row>
      <xdr:rowOff>149087</xdr:rowOff>
    </xdr:from>
    <xdr:to>
      <xdr:col>13</xdr:col>
      <xdr:colOff>125895</xdr:colOff>
      <xdr:row>16</xdr:row>
      <xdr:rowOff>109330</xdr:rowOff>
    </xdr:to>
    <xdr:graphicFrame macro="">
      <xdr:nvGraphicFramePr>
        <xdr:cNvPr id="3" name="Chart 2">
          <a:extLst>
            <a:ext uri="{FF2B5EF4-FFF2-40B4-BE49-F238E27FC236}">
              <a16:creationId xmlns:a16="http://schemas.microsoft.com/office/drawing/2014/main" id="{FD75F7D9-33B2-243F-BEF7-568605104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6</xdr:row>
      <xdr:rowOff>41910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C4FF5647-C2C1-CAEA-77C9-5ECB02454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xdr:colOff>
      <xdr:row>5</xdr:row>
      <xdr:rowOff>99060</xdr:rowOff>
    </xdr:from>
    <xdr:to>
      <xdr:col>15</xdr:col>
      <xdr:colOff>30481</xdr:colOff>
      <xdr:row>19</xdr:row>
      <xdr:rowOff>5715</xdr:rowOff>
    </xdr:to>
    <mc:AlternateContent xmlns:mc="http://schemas.openxmlformats.org/markup-compatibility/2006" xmlns:a14="http://schemas.microsoft.com/office/drawing/2010/main">
      <mc:Choice Requires="a14">
        <xdr:graphicFrame macro="">
          <xdr:nvGraphicFramePr>
            <xdr:cNvPr id="3" name="Order Status 2">
              <a:extLst>
                <a:ext uri="{FF2B5EF4-FFF2-40B4-BE49-F238E27FC236}">
                  <a16:creationId xmlns:a16="http://schemas.microsoft.com/office/drawing/2014/main" id="{CAB4E687-150A-1BA8-6E69-17A8B51C6C2A}"/>
                </a:ext>
              </a:extLst>
            </xdr:cNvPr>
            <xdr:cNvGraphicFramePr/>
          </xdr:nvGraphicFramePr>
          <xdr:xfrm>
            <a:off x="0" y="0"/>
            <a:ext cx="0" cy="0"/>
          </xdr:xfrm>
          <a:graphic>
            <a:graphicData uri="http://schemas.microsoft.com/office/drawing/2010/slicer">
              <sle:slicer xmlns:sle="http://schemas.microsoft.com/office/drawing/2010/slicer" name="Order Status 2"/>
            </a:graphicData>
          </a:graphic>
        </xdr:graphicFrame>
      </mc:Choice>
      <mc:Fallback xmlns="">
        <xdr:sp macro="" textlink="">
          <xdr:nvSpPr>
            <xdr:cNvPr id="0" name=""/>
            <xdr:cNvSpPr>
              <a:spLocks noTextEdit="1"/>
            </xdr:cNvSpPr>
          </xdr:nvSpPr>
          <xdr:spPr>
            <a:xfrm>
              <a:off x="8080869" y="1016282"/>
              <a:ext cx="1820334" cy="2474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563880</xdr:colOff>
      <xdr:row>6</xdr:row>
      <xdr:rowOff>41910</xdr:rowOff>
    </xdr:from>
    <xdr:to>
      <xdr:col>11</xdr:col>
      <xdr:colOff>259080</xdr:colOff>
      <xdr:row>21</xdr:row>
      <xdr:rowOff>41910</xdr:rowOff>
    </xdr:to>
    <xdr:graphicFrame macro="">
      <xdr:nvGraphicFramePr>
        <xdr:cNvPr id="2" name="Chart 1">
          <a:extLst>
            <a:ext uri="{FF2B5EF4-FFF2-40B4-BE49-F238E27FC236}">
              <a16:creationId xmlns:a16="http://schemas.microsoft.com/office/drawing/2014/main" id="{2B010264-AA52-D66F-B2E8-80B15A20B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563880</xdr:colOff>
      <xdr:row>12</xdr:row>
      <xdr:rowOff>57150</xdr:rowOff>
    </xdr:from>
    <xdr:to>
      <xdr:col>13</xdr:col>
      <xdr:colOff>259080</xdr:colOff>
      <xdr:row>27</xdr:row>
      <xdr:rowOff>57150</xdr:rowOff>
    </xdr:to>
    <xdr:graphicFrame macro="">
      <xdr:nvGraphicFramePr>
        <xdr:cNvPr id="3" name="Chart 2">
          <a:extLst>
            <a:ext uri="{FF2B5EF4-FFF2-40B4-BE49-F238E27FC236}">
              <a16:creationId xmlns:a16="http://schemas.microsoft.com/office/drawing/2014/main" id="{565C23D8-B61A-4FCD-1BBE-D1DA26B9A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2</xdr:col>
      <xdr:colOff>548640</xdr:colOff>
      <xdr:row>5</xdr:row>
      <xdr:rowOff>129540</xdr:rowOff>
    </xdr:from>
    <xdr:ext cx="1158240" cy="264560"/>
    <xdr:sp macro="" textlink="">
      <xdr:nvSpPr>
        <xdr:cNvPr id="7" name="TextBox 6">
          <a:extLst>
            <a:ext uri="{FF2B5EF4-FFF2-40B4-BE49-F238E27FC236}">
              <a16:creationId xmlns:a16="http://schemas.microsoft.com/office/drawing/2014/main" id="{60BA1037-A08B-0F82-44DF-463DAA6A1D91}"/>
            </a:ext>
          </a:extLst>
        </xdr:cNvPr>
        <xdr:cNvSpPr txBox="1"/>
      </xdr:nvSpPr>
      <xdr:spPr>
        <a:xfrm>
          <a:off x="1767840" y="1043940"/>
          <a:ext cx="11582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3</xdr:col>
      <xdr:colOff>550546</xdr:colOff>
      <xdr:row>7</xdr:row>
      <xdr:rowOff>120967</xdr:rowOff>
    </xdr:from>
    <xdr:to>
      <xdr:col>9</xdr:col>
      <xdr:colOff>69216</xdr:colOff>
      <xdr:row>9</xdr:row>
      <xdr:rowOff>120967</xdr:rowOff>
    </xdr:to>
    <xdr:sp macro="" textlink="">
      <xdr:nvSpPr>
        <xdr:cNvPr id="15" name="TextBox 14">
          <a:extLst>
            <a:ext uri="{FF2B5EF4-FFF2-40B4-BE49-F238E27FC236}">
              <a16:creationId xmlns:a16="http://schemas.microsoft.com/office/drawing/2014/main" id="{210F2341-36A0-3367-638B-3F80A2B01C48}"/>
            </a:ext>
          </a:extLst>
        </xdr:cNvPr>
        <xdr:cNvSpPr txBox="1"/>
      </xdr:nvSpPr>
      <xdr:spPr>
        <a:xfrm>
          <a:off x="2392046" y="1398905"/>
          <a:ext cx="318579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p>
      </xdr:txBody>
    </xdr:sp>
    <xdr:clientData/>
  </xdr:twoCellAnchor>
  <xdr:twoCellAnchor>
    <xdr:from>
      <xdr:col>0</xdr:col>
      <xdr:colOff>595955</xdr:colOff>
      <xdr:row>9</xdr:row>
      <xdr:rowOff>180811</xdr:rowOff>
    </xdr:from>
    <xdr:to>
      <xdr:col>6</xdr:col>
      <xdr:colOff>595536</xdr:colOff>
      <xdr:row>25</xdr:row>
      <xdr:rowOff>18361</xdr:rowOff>
    </xdr:to>
    <xdr:graphicFrame macro="">
      <xdr:nvGraphicFramePr>
        <xdr:cNvPr id="16" name="Chart 15">
          <a:extLst>
            <a:ext uri="{FF2B5EF4-FFF2-40B4-BE49-F238E27FC236}">
              <a16:creationId xmlns:a16="http://schemas.microsoft.com/office/drawing/2014/main" id="{22D7936F-EFA2-4622-9C2E-141E47D50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596749</xdr:colOff>
      <xdr:row>9</xdr:row>
      <xdr:rowOff>171631</xdr:rowOff>
    </xdr:from>
    <xdr:to>
      <xdr:col>14</xdr:col>
      <xdr:colOff>604368</xdr:colOff>
      <xdr:row>24</xdr:row>
      <xdr:rowOff>174434</xdr:rowOff>
    </xdr:to>
    <xdr:graphicFrame macro="">
      <xdr:nvGraphicFramePr>
        <xdr:cNvPr id="17" name="Chart 16">
          <a:extLst>
            <a:ext uri="{FF2B5EF4-FFF2-40B4-BE49-F238E27FC236}">
              <a16:creationId xmlns:a16="http://schemas.microsoft.com/office/drawing/2014/main" id="{C84CF2E1-0286-4571-8EB1-A2007DA05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3346</xdr:colOff>
      <xdr:row>10</xdr:row>
      <xdr:rowOff>9817</xdr:rowOff>
    </xdr:from>
    <xdr:to>
      <xdr:col>23</xdr:col>
      <xdr:colOff>0</xdr:colOff>
      <xdr:row>25</xdr:row>
      <xdr:rowOff>11587</xdr:rowOff>
    </xdr:to>
    <xdr:graphicFrame macro="">
      <xdr:nvGraphicFramePr>
        <xdr:cNvPr id="18" name="Chart 17">
          <a:extLst>
            <a:ext uri="{FF2B5EF4-FFF2-40B4-BE49-F238E27FC236}">
              <a16:creationId xmlns:a16="http://schemas.microsoft.com/office/drawing/2014/main" id="{0D83EB20-7D92-4D6D-A814-E3B7D1CB7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586740</xdr:colOff>
      <xdr:row>27</xdr:row>
      <xdr:rowOff>7620</xdr:rowOff>
    </xdr:from>
    <xdr:to>
      <xdr:col>15</xdr:col>
      <xdr:colOff>0</xdr:colOff>
      <xdr:row>42</xdr:row>
      <xdr:rowOff>7620</xdr:rowOff>
    </xdr:to>
    <xdr:graphicFrame macro="">
      <xdr:nvGraphicFramePr>
        <xdr:cNvPr id="19" name="Chart 18">
          <a:extLst>
            <a:ext uri="{FF2B5EF4-FFF2-40B4-BE49-F238E27FC236}">
              <a16:creationId xmlns:a16="http://schemas.microsoft.com/office/drawing/2014/main" id="{8857C4F8-9F46-4EBD-BEB7-A4538F344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8879</xdr:colOff>
      <xdr:row>27</xdr:row>
      <xdr:rowOff>9340</xdr:rowOff>
    </xdr:from>
    <xdr:to>
      <xdr:col>22</xdr:col>
      <xdr:colOff>596747</xdr:colOff>
      <xdr:row>42</xdr:row>
      <xdr:rowOff>17038</xdr:rowOff>
    </xdr:to>
    <xdr:graphicFrame macro="">
      <xdr:nvGraphicFramePr>
        <xdr:cNvPr id="20" name="Chart 19">
          <a:extLst>
            <a:ext uri="{FF2B5EF4-FFF2-40B4-BE49-F238E27FC236}">
              <a16:creationId xmlns:a16="http://schemas.microsoft.com/office/drawing/2014/main" id="{E41A6968-C348-4D3C-A2EB-C9D44B17C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20328</xdr:colOff>
      <xdr:row>4</xdr:row>
      <xdr:rowOff>174412</xdr:rowOff>
    </xdr:from>
    <xdr:to>
      <xdr:col>3</xdr:col>
      <xdr:colOff>538984</xdr:colOff>
      <xdr:row>9</xdr:row>
      <xdr:rowOff>15876</xdr:rowOff>
    </xdr:to>
    <xdr:sp macro="" textlink="">
      <xdr:nvSpPr>
        <xdr:cNvPr id="24" name="Rectangle 23">
          <a:extLst>
            <a:ext uri="{FF2B5EF4-FFF2-40B4-BE49-F238E27FC236}">
              <a16:creationId xmlns:a16="http://schemas.microsoft.com/office/drawing/2014/main" id="{2F2B621B-4274-2B3A-D0D0-92CB1C17195D}"/>
            </a:ext>
          </a:extLst>
        </xdr:cNvPr>
        <xdr:cNvSpPr/>
      </xdr:nvSpPr>
      <xdr:spPr>
        <a:xfrm>
          <a:off x="626256" y="908870"/>
          <a:ext cx="1739692" cy="75953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11778</xdr:colOff>
      <xdr:row>5</xdr:row>
      <xdr:rowOff>3750</xdr:rowOff>
    </xdr:from>
    <xdr:to>
      <xdr:col>9</xdr:col>
      <xdr:colOff>539003</xdr:colOff>
      <xdr:row>9</xdr:row>
      <xdr:rowOff>30551</xdr:rowOff>
    </xdr:to>
    <xdr:sp macro="" textlink="">
      <xdr:nvSpPr>
        <xdr:cNvPr id="25" name="Rectangle 24">
          <a:extLst>
            <a:ext uri="{FF2B5EF4-FFF2-40B4-BE49-F238E27FC236}">
              <a16:creationId xmlns:a16="http://schemas.microsoft.com/office/drawing/2014/main" id="{19F576E5-1FAF-9A4E-BA15-72A69853FE08}"/>
            </a:ext>
          </a:extLst>
        </xdr:cNvPr>
        <xdr:cNvSpPr/>
      </xdr:nvSpPr>
      <xdr:spPr>
        <a:xfrm>
          <a:off x="4262453" y="921822"/>
          <a:ext cx="1739080" cy="761259"/>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314316</xdr:colOff>
      <xdr:row>5</xdr:row>
      <xdr:rowOff>51867</xdr:rowOff>
    </xdr:from>
    <xdr:to>
      <xdr:col>3</xdr:col>
      <xdr:colOff>319700</xdr:colOff>
      <xdr:row>7</xdr:row>
      <xdr:rowOff>18360</xdr:rowOff>
    </xdr:to>
    <xdr:sp macro="" textlink="">
      <xdr:nvSpPr>
        <xdr:cNvPr id="26" name="TextBox 25">
          <a:extLst>
            <a:ext uri="{FF2B5EF4-FFF2-40B4-BE49-F238E27FC236}">
              <a16:creationId xmlns:a16="http://schemas.microsoft.com/office/drawing/2014/main" id="{4C4A6A9B-8651-55F5-9313-1CEA42F37ED6}"/>
            </a:ext>
          </a:extLst>
        </xdr:cNvPr>
        <xdr:cNvSpPr txBox="1"/>
      </xdr:nvSpPr>
      <xdr:spPr>
        <a:xfrm>
          <a:off x="920244" y="969939"/>
          <a:ext cx="1226420" cy="333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Total</a:t>
          </a:r>
          <a:r>
            <a:rPr lang="en-IN" sz="1200" b="0" baseline="0"/>
            <a:t> </a:t>
          </a:r>
          <a:r>
            <a:rPr lang="en-IN" sz="1400" b="0" baseline="0"/>
            <a:t>Revenue</a:t>
          </a:r>
          <a:endParaRPr lang="en-IN" sz="1400" b="0"/>
        </a:p>
      </xdr:txBody>
    </xdr:sp>
    <xdr:clientData/>
  </xdr:twoCellAnchor>
  <xdr:twoCellAnchor>
    <xdr:from>
      <xdr:col>1</xdr:col>
      <xdr:colOff>543084</xdr:colOff>
      <xdr:row>6</xdr:row>
      <xdr:rowOff>92754</xdr:rowOff>
    </xdr:from>
    <xdr:to>
      <xdr:col>3</xdr:col>
      <xdr:colOff>121052</xdr:colOff>
      <xdr:row>7</xdr:row>
      <xdr:rowOff>169156</xdr:rowOff>
    </xdr:to>
    <xdr:sp macro="" textlink="'5'!C9">
      <xdr:nvSpPr>
        <xdr:cNvPr id="27" name="TextBox 26">
          <a:extLst>
            <a:ext uri="{FF2B5EF4-FFF2-40B4-BE49-F238E27FC236}">
              <a16:creationId xmlns:a16="http://schemas.microsoft.com/office/drawing/2014/main" id="{A6ECBFFF-85C7-B86A-3921-3CE5B8D80926}"/>
            </a:ext>
          </a:extLst>
        </xdr:cNvPr>
        <xdr:cNvSpPr txBox="1"/>
      </xdr:nvSpPr>
      <xdr:spPr>
        <a:xfrm>
          <a:off x="1149012" y="1194441"/>
          <a:ext cx="799004" cy="260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93DA02-F56F-4A83-9CE1-9240727EC594}" type="TxLink">
            <a:rPr lang="en-US" sz="1400" b="1" i="0" u="none" strike="noStrike">
              <a:solidFill>
                <a:srgbClr val="000000"/>
              </a:solidFill>
              <a:latin typeface="Calibri"/>
              <a:ea typeface="Calibri"/>
              <a:cs typeface="Calibri"/>
            </a:rPr>
            <a:pPr/>
            <a:t>$2.2M</a:t>
          </a:fld>
          <a:endParaRPr lang="en-IN" sz="1400" b="1"/>
        </a:p>
      </xdr:txBody>
    </xdr:sp>
    <xdr:clientData/>
  </xdr:twoCellAnchor>
  <xdr:twoCellAnchor>
    <xdr:from>
      <xdr:col>7</xdr:col>
      <xdr:colOff>373064</xdr:colOff>
      <xdr:row>5</xdr:row>
      <xdr:rowOff>55562</xdr:rowOff>
    </xdr:from>
    <xdr:to>
      <xdr:col>9</xdr:col>
      <xdr:colOff>563564</xdr:colOff>
      <xdr:row>6</xdr:row>
      <xdr:rowOff>158750</xdr:rowOff>
    </xdr:to>
    <xdr:sp macro="" textlink="">
      <xdr:nvSpPr>
        <xdr:cNvPr id="2" name="TextBox 1">
          <a:extLst>
            <a:ext uri="{FF2B5EF4-FFF2-40B4-BE49-F238E27FC236}">
              <a16:creationId xmlns:a16="http://schemas.microsoft.com/office/drawing/2014/main" id="{A7A3AB43-D617-4C96-2D0C-CEB41C9CF6EF}"/>
            </a:ext>
          </a:extLst>
        </xdr:cNvPr>
        <xdr:cNvSpPr txBox="1"/>
      </xdr:nvSpPr>
      <xdr:spPr>
        <a:xfrm>
          <a:off x="4659314" y="968375"/>
          <a:ext cx="1412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100"/>
            <a:t> </a:t>
          </a:r>
          <a:r>
            <a:rPr lang="en-IN" sz="1400"/>
            <a:t>Orders</a:t>
          </a:r>
        </a:p>
        <a:p>
          <a:endParaRPr lang="en-IN" sz="1100"/>
        </a:p>
      </xdr:txBody>
    </xdr:sp>
    <xdr:clientData/>
  </xdr:twoCellAnchor>
  <xdr:twoCellAnchor>
    <xdr:from>
      <xdr:col>8</xdr:col>
      <xdr:colOff>47624</xdr:colOff>
      <xdr:row>6</xdr:row>
      <xdr:rowOff>71438</xdr:rowOff>
    </xdr:from>
    <xdr:to>
      <xdr:col>9</xdr:col>
      <xdr:colOff>246062</xdr:colOff>
      <xdr:row>7</xdr:row>
      <xdr:rowOff>174624</xdr:rowOff>
    </xdr:to>
    <xdr:sp macro="" textlink="'5'!E9">
      <xdr:nvSpPr>
        <xdr:cNvPr id="8" name="TextBox 7">
          <a:extLst>
            <a:ext uri="{FF2B5EF4-FFF2-40B4-BE49-F238E27FC236}">
              <a16:creationId xmlns:a16="http://schemas.microsoft.com/office/drawing/2014/main" id="{DE30781D-574E-F047-5273-C1D737579201}"/>
            </a:ext>
          </a:extLst>
        </xdr:cNvPr>
        <xdr:cNvSpPr txBox="1"/>
      </xdr:nvSpPr>
      <xdr:spPr>
        <a:xfrm>
          <a:off x="4945062" y="1166813"/>
          <a:ext cx="8096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372449-5E1C-49F5-AADF-50187A4F4E48}" type="TxLink">
            <a:rPr lang="en-US" sz="1400" b="1" i="0" u="none" strike="noStrike">
              <a:solidFill>
                <a:srgbClr val="000000"/>
              </a:solidFill>
              <a:latin typeface="Calibri"/>
              <a:ea typeface="Calibri"/>
              <a:cs typeface="Calibri"/>
            </a:rPr>
            <a:t>24</a:t>
          </a:fld>
          <a:endParaRPr lang="en-IN" sz="1400" b="1"/>
        </a:p>
      </xdr:txBody>
    </xdr:sp>
    <xdr:clientData/>
  </xdr:twoCellAnchor>
  <xdr:twoCellAnchor>
    <xdr:from>
      <xdr:col>13</xdr:col>
      <xdr:colOff>12124</xdr:colOff>
      <xdr:row>4</xdr:row>
      <xdr:rowOff>171832</xdr:rowOff>
    </xdr:from>
    <xdr:to>
      <xdr:col>15</xdr:col>
      <xdr:colOff>539349</xdr:colOff>
      <xdr:row>9</xdr:row>
      <xdr:rowOff>15019</xdr:rowOff>
    </xdr:to>
    <xdr:sp macro="" textlink="">
      <xdr:nvSpPr>
        <xdr:cNvPr id="9" name="Rectangle 8">
          <a:extLst>
            <a:ext uri="{FF2B5EF4-FFF2-40B4-BE49-F238E27FC236}">
              <a16:creationId xmlns:a16="http://schemas.microsoft.com/office/drawing/2014/main" id="{44D4CACA-2C06-0666-CB25-7E4EDD0C41F7}"/>
            </a:ext>
          </a:extLst>
        </xdr:cNvPr>
        <xdr:cNvSpPr/>
      </xdr:nvSpPr>
      <xdr:spPr>
        <a:xfrm>
          <a:off x="7965499" y="902082"/>
          <a:ext cx="1749600" cy="756000"/>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5773</xdr:colOff>
      <xdr:row>4</xdr:row>
      <xdr:rowOff>181357</xdr:rowOff>
    </xdr:from>
    <xdr:to>
      <xdr:col>21</xdr:col>
      <xdr:colOff>532998</xdr:colOff>
      <xdr:row>9</xdr:row>
      <xdr:rowOff>24544</xdr:rowOff>
    </xdr:to>
    <xdr:sp macro="" textlink="">
      <xdr:nvSpPr>
        <xdr:cNvPr id="21" name="Rectangle 20">
          <a:extLst>
            <a:ext uri="{FF2B5EF4-FFF2-40B4-BE49-F238E27FC236}">
              <a16:creationId xmlns:a16="http://schemas.microsoft.com/office/drawing/2014/main" id="{2C8829E9-AE69-4B4F-9299-C1F24C3E1374}"/>
            </a:ext>
          </a:extLst>
        </xdr:cNvPr>
        <xdr:cNvSpPr/>
      </xdr:nvSpPr>
      <xdr:spPr>
        <a:xfrm>
          <a:off x="11626273" y="911607"/>
          <a:ext cx="1749600" cy="756000"/>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309563</xdr:colOff>
      <xdr:row>5</xdr:row>
      <xdr:rowOff>55563</xdr:rowOff>
    </xdr:from>
    <xdr:to>
      <xdr:col>15</xdr:col>
      <xdr:colOff>404813</xdr:colOff>
      <xdr:row>6</xdr:row>
      <xdr:rowOff>142876</xdr:rowOff>
    </xdr:to>
    <xdr:sp macro="" textlink="">
      <xdr:nvSpPr>
        <xdr:cNvPr id="22" name="TextBox 21">
          <a:extLst>
            <a:ext uri="{FF2B5EF4-FFF2-40B4-BE49-F238E27FC236}">
              <a16:creationId xmlns:a16="http://schemas.microsoft.com/office/drawing/2014/main" id="{5F45D612-8E25-3032-E4E9-49AEBCE7CCA0}"/>
            </a:ext>
          </a:extLst>
        </xdr:cNvPr>
        <xdr:cNvSpPr txBox="1"/>
      </xdr:nvSpPr>
      <xdr:spPr>
        <a:xfrm>
          <a:off x="8262938" y="968376"/>
          <a:ext cx="1317625"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Cancellation %</a:t>
          </a:r>
        </a:p>
      </xdr:txBody>
    </xdr:sp>
    <xdr:clientData/>
  </xdr:twoCellAnchor>
  <xdr:twoCellAnchor>
    <xdr:from>
      <xdr:col>13</xdr:col>
      <xdr:colOff>555625</xdr:colOff>
      <xdr:row>6</xdr:row>
      <xdr:rowOff>55562</xdr:rowOff>
    </xdr:from>
    <xdr:to>
      <xdr:col>15</xdr:col>
      <xdr:colOff>23813</xdr:colOff>
      <xdr:row>7</xdr:row>
      <xdr:rowOff>95249</xdr:rowOff>
    </xdr:to>
    <xdr:sp macro="" textlink="'5'!G9">
      <xdr:nvSpPr>
        <xdr:cNvPr id="23" name="TextBox 22">
          <a:extLst>
            <a:ext uri="{FF2B5EF4-FFF2-40B4-BE49-F238E27FC236}">
              <a16:creationId xmlns:a16="http://schemas.microsoft.com/office/drawing/2014/main" id="{D3461D33-D2B4-4873-4438-F8F2399EF017}"/>
            </a:ext>
          </a:extLst>
        </xdr:cNvPr>
        <xdr:cNvSpPr txBox="1"/>
      </xdr:nvSpPr>
      <xdr:spPr>
        <a:xfrm>
          <a:off x="8509000" y="1150937"/>
          <a:ext cx="69056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826C21-9EC1-4199-A55E-97DA923EB513}" type="TxLink">
            <a:rPr lang="en-US" sz="1400" b="1" i="0" u="none" strike="noStrike">
              <a:solidFill>
                <a:srgbClr val="000000"/>
              </a:solidFill>
              <a:latin typeface="Calibri"/>
              <a:ea typeface="Calibri"/>
              <a:cs typeface="Calibri"/>
            </a:rPr>
            <a:t>54.17%</a:t>
          </a:fld>
          <a:endParaRPr lang="en-IN" sz="1400" b="1"/>
        </a:p>
      </xdr:txBody>
    </xdr:sp>
    <xdr:clientData/>
  </xdr:twoCellAnchor>
  <xdr:twoCellAnchor>
    <xdr:from>
      <xdr:col>19</xdr:col>
      <xdr:colOff>222250</xdr:colOff>
      <xdr:row>4</xdr:row>
      <xdr:rowOff>174625</xdr:rowOff>
    </xdr:from>
    <xdr:to>
      <xdr:col>21</xdr:col>
      <xdr:colOff>420687</xdr:colOff>
      <xdr:row>6</xdr:row>
      <xdr:rowOff>63500</xdr:rowOff>
    </xdr:to>
    <xdr:sp macro="" textlink="">
      <xdr:nvSpPr>
        <xdr:cNvPr id="28" name="TextBox 27">
          <a:extLst>
            <a:ext uri="{FF2B5EF4-FFF2-40B4-BE49-F238E27FC236}">
              <a16:creationId xmlns:a16="http://schemas.microsoft.com/office/drawing/2014/main" id="{BB39D2BE-744F-C8AF-22E2-1D0DBF62EBD8}"/>
            </a:ext>
          </a:extLst>
        </xdr:cNvPr>
        <xdr:cNvSpPr txBox="1"/>
      </xdr:nvSpPr>
      <xdr:spPr>
        <a:xfrm>
          <a:off x="11842750" y="904875"/>
          <a:ext cx="1420812"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 Order Value</a:t>
          </a:r>
        </a:p>
      </xdr:txBody>
    </xdr:sp>
    <xdr:clientData/>
  </xdr:twoCellAnchor>
  <xdr:twoCellAnchor>
    <xdr:from>
      <xdr:col>19</xdr:col>
      <xdr:colOff>563564</xdr:colOff>
      <xdr:row>6</xdr:row>
      <xdr:rowOff>39688</xdr:rowOff>
    </xdr:from>
    <xdr:to>
      <xdr:col>21</xdr:col>
      <xdr:colOff>325439</xdr:colOff>
      <xdr:row>7</xdr:row>
      <xdr:rowOff>127000</xdr:rowOff>
    </xdr:to>
    <xdr:sp macro="" textlink="'5'!I9">
      <xdr:nvSpPr>
        <xdr:cNvPr id="29" name="TextBox 28">
          <a:extLst>
            <a:ext uri="{FF2B5EF4-FFF2-40B4-BE49-F238E27FC236}">
              <a16:creationId xmlns:a16="http://schemas.microsoft.com/office/drawing/2014/main" id="{EFD758A9-2085-A1BB-4170-EDC54FD6683D}"/>
            </a:ext>
          </a:extLst>
        </xdr:cNvPr>
        <xdr:cNvSpPr txBox="1"/>
      </xdr:nvSpPr>
      <xdr:spPr>
        <a:xfrm>
          <a:off x="12184064" y="1135063"/>
          <a:ext cx="98425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AFDB2A-4001-4062-9649-C1C7FAB61AA4}" type="TxLink">
            <a:rPr lang="en-US" sz="1400" b="1" i="0" u="none" strike="noStrike">
              <a:solidFill>
                <a:srgbClr val="000000"/>
              </a:solidFill>
              <a:latin typeface="Calibri"/>
              <a:ea typeface="Calibri"/>
              <a:cs typeface="Calibri"/>
            </a:rPr>
            <a:t>$203K</a:t>
          </a:fld>
          <a:endParaRPr lang="en-IN" sz="1400" b="1"/>
        </a:p>
      </xdr:txBody>
    </xdr:sp>
    <xdr:clientData/>
  </xdr:twoCellAnchor>
  <xdr:twoCellAnchor>
    <xdr:from>
      <xdr:col>1</xdr:col>
      <xdr:colOff>6557</xdr:colOff>
      <xdr:row>1</xdr:row>
      <xdr:rowOff>45900</xdr:rowOff>
    </xdr:from>
    <xdr:to>
      <xdr:col>22</xdr:col>
      <xdr:colOff>498682</xdr:colOff>
      <xdr:row>3</xdr:row>
      <xdr:rowOff>180837</xdr:rowOff>
    </xdr:to>
    <xdr:sp macro="" textlink="">
      <xdr:nvSpPr>
        <xdr:cNvPr id="30" name="Rectangle: Rounded Corners 29">
          <a:extLst>
            <a:ext uri="{FF2B5EF4-FFF2-40B4-BE49-F238E27FC236}">
              <a16:creationId xmlns:a16="http://schemas.microsoft.com/office/drawing/2014/main" id="{69E1DC6E-80BC-E3AF-C0BC-C91CC1964028}"/>
            </a:ext>
          </a:extLst>
        </xdr:cNvPr>
        <xdr:cNvSpPr/>
      </xdr:nvSpPr>
      <xdr:spPr>
        <a:xfrm>
          <a:off x="613948" y="233639"/>
          <a:ext cx="13258386" cy="5104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44463</xdr:colOff>
      <xdr:row>1</xdr:row>
      <xdr:rowOff>41286</xdr:rowOff>
    </xdr:from>
    <xdr:to>
      <xdr:col>15</xdr:col>
      <xdr:colOff>299386</xdr:colOff>
      <xdr:row>2</xdr:row>
      <xdr:rowOff>187667</xdr:rowOff>
    </xdr:to>
    <xdr:sp macro="" textlink="">
      <xdr:nvSpPr>
        <xdr:cNvPr id="31" name="TextBox 30">
          <a:extLst>
            <a:ext uri="{FF2B5EF4-FFF2-40B4-BE49-F238E27FC236}">
              <a16:creationId xmlns:a16="http://schemas.microsoft.com/office/drawing/2014/main" id="{75F03A50-5777-2F9D-12DC-D3C8A18ECC70}"/>
            </a:ext>
          </a:extLst>
        </xdr:cNvPr>
        <xdr:cNvSpPr txBox="1"/>
      </xdr:nvSpPr>
      <xdr:spPr>
        <a:xfrm>
          <a:off x="4914637" y="229025"/>
          <a:ext cx="4506662" cy="33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rPr>
            <a:t>Sales</a:t>
          </a:r>
          <a:r>
            <a:rPr lang="en-IN" sz="2400" baseline="0">
              <a:solidFill>
                <a:schemeClr val="bg1"/>
              </a:solidFill>
            </a:rPr>
            <a:t> Performance Dashboard</a:t>
          </a:r>
          <a:endParaRPr lang="en-IN" sz="24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uthisri" refreshedDate="45906.645218287034" createdVersion="8" refreshedVersion="8" minRefreshableVersion="3" recordCount="25" xr:uid="{79F5EAA6-47D4-46F2-BF9E-A78809F1FB65}">
  <cacheSource type="worksheet">
    <worksheetSource ref="A1:I1048576" sheet="Product"/>
  </cacheSource>
  <cacheFields count="9">
    <cacheField name="OrderID" numFmtId="0">
      <sharedItems containsBlank="1"/>
    </cacheField>
    <cacheField name="Date" numFmtId="0">
      <sharedItems containsNonDate="0" containsDate="1" containsString="0" containsBlank="1" minDate="2023-01-09T00:00:00" maxDate="2023-12-09T00:00:00"/>
    </cacheField>
    <cacheField name="Region" numFmtId="0">
      <sharedItems containsBlank="1"/>
    </cacheField>
    <cacheField name="Product" numFmtId="0">
      <sharedItems containsBlank="1" count="7">
        <s v="Headphones"/>
        <s v="Laptop"/>
        <s v="Monitor"/>
        <s v="Tablet"/>
        <s v="Others"/>
        <s v="Phone"/>
        <m/>
      </sharedItems>
    </cacheField>
    <cacheField name="Quantity" numFmtId="0">
      <sharedItems containsString="0" containsBlank="1" containsNumber="1" containsInteger="1" minValue="0" maxValue="10"/>
    </cacheField>
    <cacheField name="Order Status" numFmtId="0">
      <sharedItems containsBlank="1" count="3">
        <s v="Cancelled"/>
        <s v="Completed"/>
        <m/>
      </sharedItems>
    </cacheField>
    <cacheField name="UnitPrice" numFmtId="0">
      <sharedItems containsString="0" containsBlank="1" containsNumber="1" containsInteger="1" minValue="24563" maxValue="48721"/>
    </cacheField>
    <cacheField name="Salesperson" numFmtId="0">
      <sharedItems containsBlank="1" count="7">
        <s v="Vikram"/>
        <s v="Amit"/>
        <s v="Sneha"/>
        <s v="Unassigned"/>
        <s v="Anita"/>
        <s v="Priya"/>
        <m/>
      </sharedItems>
    </cacheField>
    <cacheField name="TotalSales" numFmtId="0">
      <sharedItems containsString="0" containsBlank="1" containsNumber="1" containsInteger="1" minValue="0" maxValue="300000"/>
    </cacheField>
  </cacheFields>
  <extLst>
    <ext xmlns:x14="http://schemas.microsoft.com/office/spreadsheetml/2009/9/main" uri="{725AE2AE-9491-48be-B2B4-4EB974FC3084}">
      <x14:pivotCacheDefinition pivotCacheId="10189758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uthisri" refreshedDate="45906.645218750004" createdVersion="8" refreshedVersion="8" minRefreshableVersion="3" recordCount="24" xr:uid="{5A53BA8C-CC84-40C9-8F59-1EE10E9BFD81}">
  <cacheSource type="worksheet">
    <worksheetSource name="Product"/>
  </cacheSource>
  <cacheFields count="12">
    <cacheField name="OrderID" numFmtId="0">
      <sharedItems/>
    </cacheField>
    <cacheField name="Date" numFmtId="14">
      <sharedItems containsSemiMixedTypes="0" containsNonDate="0" containsDate="1" containsString="0" minDate="2023-01-09T00:00:00" maxDate="2023-12-09T00:00:00" count="23">
        <d v="2023-01-09T00:00:00"/>
        <d v="2023-12-08T00:00:00"/>
        <d v="2023-01-11T00:00:00"/>
        <d v="2023-01-10T00:00:00"/>
        <d v="2023-05-11T00:00:00"/>
        <d v="2023-03-11T00:00:00"/>
        <d v="2023-09-16T00:00:00"/>
        <d v="2023-07-21T00:00:00"/>
        <d v="2023-11-05T00:00:00"/>
        <d v="2023-09-13T00:00:00"/>
        <d v="2023-06-17T00:00:00"/>
        <d v="2023-03-15T00:00:00"/>
        <d v="2023-09-24T00:00:00"/>
        <d v="2023-04-07T00:00:00"/>
        <d v="2023-11-01T00:00:00"/>
        <d v="2023-08-12T00:00:00"/>
        <d v="2023-03-28T00:00:00"/>
        <d v="2023-10-11T00:00:00"/>
        <d v="2023-06-08T00:00:00"/>
        <d v="2023-08-18T00:00:00"/>
        <d v="2023-04-23T00:00:00"/>
        <d v="2023-01-20T00:00:00"/>
        <d v="2023-03-25T00:00:00"/>
      </sharedItems>
      <fieldGroup par="10"/>
    </cacheField>
    <cacheField name="Region" numFmtId="0">
      <sharedItems count="4">
        <s v="North"/>
        <s v="South"/>
        <s v="West"/>
        <s v="East"/>
      </sharedItems>
    </cacheField>
    <cacheField name="Product" numFmtId="0">
      <sharedItems/>
    </cacheField>
    <cacheField name="Quantity" numFmtId="0">
      <sharedItems containsSemiMixedTypes="0" containsString="0" containsNumber="1" containsInteger="1" minValue="0" maxValue="10"/>
    </cacheField>
    <cacheField name="Order Status" numFmtId="0">
      <sharedItems count="2">
        <s v="Cancelled"/>
        <s v="Completed"/>
      </sharedItems>
    </cacheField>
    <cacheField name="UnitPrice" numFmtId="166">
      <sharedItems containsSemiMixedTypes="0" containsString="0" containsNumber="1" containsInteger="1" minValue="24563" maxValue="48721"/>
    </cacheField>
    <cacheField name="Salesperson" numFmtId="0">
      <sharedItems/>
    </cacheField>
    <cacheField name="TotalSales" numFmtId="0">
      <sharedItems containsSemiMixedTypes="0" containsString="0" containsNumber="1" containsInteger="1" minValue="0" maxValue="300000"/>
    </cacheField>
    <cacheField name="Days (Date)" numFmtId="0" databaseField="0">
      <fieldGroup base="1">
        <rangePr groupBy="days" startDate="2023-01-09T00:00:00" endDate="2023-12-09T00:00:00"/>
        <groupItems count="368">
          <s v="&lt;09-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12-2023"/>
        </groupItems>
      </fieldGroup>
    </cacheField>
    <cacheField name="Months (Date)" numFmtId="0" databaseField="0">
      <fieldGroup base="1">
        <rangePr groupBy="months" startDate="2023-01-09T00:00:00" endDate="2023-12-09T00:00:00"/>
        <groupItems count="14">
          <s v="&lt;09-01-2023"/>
          <s v="Jan"/>
          <s v="Feb"/>
          <s v="Mar"/>
          <s v="Apr"/>
          <s v="May"/>
          <s v="Jun"/>
          <s v="Jul"/>
          <s v="Aug"/>
          <s v="Sep"/>
          <s v="Oct"/>
          <s v="Nov"/>
          <s v="Dec"/>
          <s v="&gt;09-12-2023"/>
        </groupItems>
      </fieldGroup>
    </cacheField>
    <cacheField name="Cancellation %" numFmtId="0" formula="OrderID/TotalSales" databaseField="0"/>
  </cacheFields>
  <extLst>
    <ext xmlns:x14="http://schemas.microsoft.com/office/spreadsheetml/2009/9/main" uri="{725AE2AE-9491-48be-B2B4-4EB974FC3084}">
      <x14:pivotCacheDefinition pivotCacheId="175085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ORD001"/>
    <d v="2023-01-09T00:00:00"/>
    <s v="North"/>
    <x v="0"/>
    <n v="0"/>
    <x v="0"/>
    <n v="30000"/>
    <x v="0"/>
    <n v="0"/>
  </r>
  <r>
    <s v="ORD003"/>
    <d v="2023-12-08T00:00:00"/>
    <s v="South"/>
    <x v="1"/>
    <n v="0"/>
    <x v="0"/>
    <n v="30000"/>
    <x v="1"/>
    <n v="0"/>
  </r>
  <r>
    <s v="ORD004"/>
    <d v="2023-01-11T00:00:00"/>
    <s v="West"/>
    <x v="1"/>
    <n v="0"/>
    <x v="0"/>
    <n v="48721"/>
    <x v="2"/>
    <n v="0"/>
  </r>
  <r>
    <s v="ORD005"/>
    <d v="2023-01-10T00:00:00"/>
    <s v="West"/>
    <x v="2"/>
    <n v="8"/>
    <x v="1"/>
    <n v="35755"/>
    <x v="3"/>
    <n v="286040"/>
  </r>
  <r>
    <s v="ORD006"/>
    <d v="2023-05-11T00:00:00"/>
    <s v="West"/>
    <x v="3"/>
    <n v="10"/>
    <x v="1"/>
    <n v="30000"/>
    <x v="3"/>
    <n v="300000"/>
  </r>
  <r>
    <s v="ORD009"/>
    <d v="2023-03-11T00:00:00"/>
    <s v="East"/>
    <x v="2"/>
    <n v="0"/>
    <x v="0"/>
    <n v="30000"/>
    <x v="0"/>
    <n v="0"/>
  </r>
  <r>
    <s v="ORD012"/>
    <d v="2023-09-16T00:00:00"/>
    <s v="South"/>
    <x v="3"/>
    <n v="9"/>
    <x v="1"/>
    <n v="30000"/>
    <x v="1"/>
    <n v="270000"/>
  </r>
  <r>
    <s v="ORD014"/>
    <d v="2023-07-21T00:00:00"/>
    <s v="West"/>
    <x v="1"/>
    <n v="0"/>
    <x v="0"/>
    <n v="30000"/>
    <x v="4"/>
    <n v="0"/>
  </r>
  <r>
    <s v="ORD018"/>
    <d v="2023-11-05T00:00:00"/>
    <s v="East"/>
    <x v="4"/>
    <n v="0"/>
    <x v="0"/>
    <n v="46125"/>
    <x v="3"/>
    <n v="0"/>
  </r>
  <r>
    <s v="ORD019"/>
    <d v="2023-09-13T00:00:00"/>
    <s v="East"/>
    <x v="3"/>
    <n v="5"/>
    <x v="1"/>
    <n v="29149"/>
    <x v="0"/>
    <n v="145745"/>
  </r>
  <r>
    <s v="ORD020"/>
    <d v="2023-06-17T00:00:00"/>
    <s v="North"/>
    <x v="4"/>
    <n v="3"/>
    <x v="1"/>
    <n v="33323"/>
    <x v="4"/>
    <n v="99969"/>
  </r>
  <r>
    <s v="ORD021"/>
    <d v="2023-03-15T00:00:00"/>
    <s v="North"/>
    <x v="5"/>
    <n v="8"/>
    <x v="1"/>
    <n v="30000"/>
    <x v="3"/>
    <n v="240000"/>
  </r>
  <r>
    <s v="ORD023"/>
    <d v="2023-09-24T00:00:00"/>
    <s v="East"/>
    <x v="3"/>
    <n v="10"/>
    <x v="1"/>
    <n v="30000"/>
    <x v="0"/>
    <n v="300000"/>
  </r>
  <r>
    <s v="ORD024"/>
    <d v="2023-04-07T00:00:00"/>
    <s v="East"/>
    <x v="5"/>
    <n v="0"/>
    <x v="0"/>
    <n v="37803"/>
    <x v="2"/>
    <n v="0"/>
  </r>
  <r>
    <s v="ORD027"/>
    <d v="2023-01-09T00:00:00"/>
    <s v="West"/>
    <x v="5"/>
    <n v="0"/>
    <x v="0"/>
    <n v="37850"/>
    <x v="0"/>
    <n v="0"/>
  </r>
  <r>
    <s v="ORD028"/>
    <d v="2023-11-01T00:00:00"/>
    <s v="West"/>
    <x v="5"/>
    <n v="0"/>
    <x v="0"/>
    <n v="30000"/>
    <x v="3"/>
    <n v="0"/>
  </r>
  <r>
    <s v="ORD029"/>
    <d v="2023-08-12T00:00:00"/>
    <s v="West"/>
    <x v="5"/>
    <n v="0"/>
    <x v="0"/>
    <n v="30000"/>
    <x v="3"/>
    <n v="0"/>
  </r>
  <r>
    <s v="ORD031"/>
    <d v="2023-03-28T00:00:00"/>
    <s v="West"/>
    <x v="5"/>
    <n v="2"/>
    <x v="1"/>
    <n v="30000"/>
    <x v="0"/>
    <n v="60000"/>
  </r>
  <r>
    <s v="ORD032"/>
    <d v="2023-10-11T00:00:00"/>
    <s v="North"/>
    <x v="0"/>
    <n v="1"/>
    <x v="1"/>
    <n v="24563"/>
    <x v="5"/>
    <n v="24563"/>
  </r>
  <r>
    <s v="ORD034"/>
    <d v="2023-06-08T00:00:00"/>
    <s v="West"/>
    <x v="2"/>
    <n v="10"/>
    <x v="1"/>
    <n v="27097"/>
    <x v="2"/>
    <n v="270970"/>
  </r>
  <r>
    <s v="ORD036"/>
    <d v="2023-08-18T00:00:00"/>
    <s v="South"/>
    <x v="5"/>
    <n v="0"/>
    <x v="0"/>
    <n v="44170"/>
    <x v="5"/>
    <n v="0"/>
  </r>
  <r>
    <s v="ORD038"/>
    <d v="2023-04-23T00:00:00"/>
    <s v="North"/>
    <x v="5"/>
    <n v="0"/>
    <x v="0"/>
    <n v="30000"/>
    <x v="5"/>
    <n v="0"/>
  </r>
  <r>
    <s v="ORD039"/>
    <d v="2023-01-20T00:00:00"/>
    <s v="North"/>
    <x v="0"/>
    <n v="0"/>
    <x v="0"/>
    <n v="30000"/>
    <x v="0"/>
    <n v="0"/>
  </r>
  <r>
    <s v="ORD040"/>
    <d v="2023-03-25T00:00:00"/>
    <s v="South"/>
    <x v="5"/>
    <n v="8"/>
    <x v="1"/>
    <n v="30000"/>
    <x v="0"/>
    <n v="240000"/>
  </r>
  <r>
    <m/>
    <m/>
    <m/>
    <x v="6"/>
    <m/>
    <x v="2"/>
    <m/>
    <x v="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ORD001"/>
    <x v="0"/>
    <x v="0"/>
    <s v="Headphones"/>
    <n v="0"/>
    <x v="0"/>
    <n v="30000"/>
    <s v="Vikram"/>
    <n v="0"/>
  </r>
  <r>
    <s v="ORD003"/>
    <x v="1"/>
    <x v="1"/>
    <s v="Laptop"/>
    <n v="0"/>
    <x v="0"/>
    <n v="30000"/>
    <s v="Amit"/>
    <n v="0"/>
  </r>
  <r>
    <s v="ORD004"/>
    <x v="2"/>
    <x v="2"/>
    <s v="Laptop"/>
    <n v="0"/>
    <x v="0"/>
    <n v="48721"/>
    <s v="Sneha"/>
    <n v="0"/>
  </r>
  <r>
    <s v="ORD005"/>
    <x v="3"/>
    <x v="2"/>
    <s v="Monitor"/>
    <n v="8"/>
    <x v="1"/>
    <n v="35755"/>
    <s v="Unassigned"/>
    <n v="286040"/>
  </r>
  <r>
    <s v="ORD006"/>
    <x v="4"/>
    <x v="2"/>
    <s v="Tablet"/>
    <n v="10"/>
    <x v="1"/>
    <n v="30000"/>
    <s v="Unassigned"/>
    <n v="300000"/>
  </r>
  <r>
    <s v="ORD009"/>
    <x v="5"/>
    <x v="3"/>
    <s v="Monitor"/>
    <n v="0"/>
    <x v="0"/>
    <n v="30000"/>
    <s v="Vikram"/>
    <n v="0"/>
  </r>
  <r>
    <s v="ORD012"/>
    <x v="6"/>
    <x v="1"/>
    <s v="Tablet"/>
    <n v="9"/>
    <x v="1"/>
    <n v="30000"/>
    <s v="Amit"/>
    <n v="270000"/>
  </r>
  <r>
    <s v="ORD014"/>
    <x v="7"/>
    <x v="2"/>
    <s v="Laptop"/>
    <n v="0"/>
    <x v="0"/>
    <n v="30000"/>
    <s v="Anita"/>
    <n v="0"/>
  </r>
  <r>
    <s v="ORD018"/>
    <x v="8"/>
    <x v="3"/>
    <s v="Others"/>
    <n v="0"/>
    <x v="0"/>
    <n v="46125"/>
    <s v="Unassigned"/>
    <n v="0"/>
  </r>
  <r>
    <s v="ORD019"/>
    <x v="9"/>
    <x v="3"/>
    <s v="Tablet"/>
    <n v="5"/>
    <x v="1"/>
    <n v="29149"/>
    <s v="Vikram"/>
    <n v="145745"/>
  </r>
  <r>
    <s v="ORD020"/>
    <x v="10"/>
    <x v="0"/>
    <s v="Others"/>
    <n v="3"/>
    <x v="1"/>
    <n v="33323"/>
    <s v="Anita"/>
    <n v="99969"/>
  </r>
  <r>
    <s v="ORD021"/>
    <x v="11"/>
    <x v="0"/>
    <s v="Phone"/>
    <n v="8"/>
    <x v="1"/>
    <n v="30000"/>
    <s v="Unassigned"/>
    <n v="240000"/>
  </r>
  <r>
    <s v="ORD023"/>
    <x v="12"/>
    <x v="3"/>
    <s v="Tablet"/>
    <n v="10"/>
    <x v="1"/>
    <n v="30000"/>
    <s v="Vikram"/>
    <n v="300000"/>
  </r>
  <r>
    <s v="ORD024"/>
    <x v="13"/>
    <x v="3"/>
    <s v="Phone"/>
    <n v="0"/>
    <x v="0"/>
    <n v="37803"/>
    <s v="Sneha"/>
    <n v="0"/>
  </r>
  <r>
    <s v="ORD027"/>
    <x v="0"/>
    <x v="2"/>
    <s v="Phone"/>
    <n v="0"/>
    <x v="0"/>
    <n v="37850"/>
    <s v="Vikram"/>
    <n v="0"/>
  </r>
  <r>
    <s v="ORD028"/>
    <x v="14"/>
    <x v="2"/>
    <s v="Phone"/>
    <n v="0"/>
    <x v="0"/>
    <n v="30000"/>
    <s v="Unassigned"/>
    <n v="0"/>
  </r>
  <r>
    <s v="ORD029"/>
    <x v="15"/>
    <x v="2"/>
    <s v="Phone"/>
    <n v="0"/>
    <x v="0"/>
    <n v="30000"/>
    <s v="Unassigned"/>
    <n v="0"/>
  </r>
  <r>
    <s v="ORD031"/>
    <x v="16"/>
    <x v="2"/>
    <s v="Phone"/>
    <n v="2"/>
    <x v="1"/>
    <n v="30000"/>
    <s v="Vikram"/>
    <n v="60000"/>
  </r>
  <r>
    <s v="ORD032"/>
    <x v="17"/>
    <x v="0"/>
    <s v="Headphones"/>
    <n v="1"/>
    <x v="1"/>
    <n v="24563"/>
    <s v="Priya"/>
    <n v="24563"/>
  </r>
  <r>
    <s v="ORD034"/>
    <x v="18"/>
    <x v="2"/>
    <s v="Monitor"/>
    <n v="10"/>
    <x v="1"/>
    <n v="27097"/>
    <s v="Sneha"/>
    <n v="270970"/>
  </r>
  <r>
    <s v="ORD036"/>
    <x v="19"/>
    <x v="1"/>
    <s v="Phone"/>
    <n v="0"/>
    <x v="0"/>
    <n v="44170"/>
    <s v="Priya"/>
    <n v="0"/>
  </r>
  <r>
    <s v="ORD038"/>
    <x v="20"/>
    <x v="0"/>
    <s v="Phone"/>
    <n v="0"/>
    <x v="0"/>
    <n v="30000"/>
    <s v="Priya"/>
    <n v="0"/>
  </r>
  <r>
    <s v="ORD039"/>
    <x v="21"/>
    <x v="0"/>
    <s v="Headphones"/>
    <n v="0"/>
    <x v="0"/>
    <n v="30000"/>
    <s v="Vikram"/>
    <n v="0"/>
  </r>
  <r>
    <s v="ORD040"/>
    <x v="22"/>
    <x v="1"/>
    <s v="Phone"/>
    <n v="8"/>
    <x v="1"/>
    <n v="30000"/>
    <s v="Vikram"/>
    <n v="2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CF3BF2-3495-4B72-880E-FD4F9958F322}" name="PivotTable1"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9">
    <pivotField showAll="0"/>
    <pivotField showAll="0"/>
    <pivotField showAll="0"/>
    <pivotField axis="axisRow" showAll="0">
      <items count="8">
        <item x="0"/>
        <item x="1"/>
        <item x="2"/>
        <item x="4"/>
        <item x="5"/>
        <item x="3"/>
        <item h="1" x="6"/>
        <item t="default"/>
      </items>
    </pivotField>
    <pivotField showAll="0"/>
    <pivotField showAll="0">
      <items count="4">
        <item x="0"/>
        <item x="1"/>
        <item x="2"/>
        <item t="default"/>
      </items>
    </pivotField>
    <pivotField showAll="0"/>
    <pivotField showAll="0"/>
    <pivotField dataField="1" showAll="0"/>
  </pivotFields>
  <rowFields count="1">
    <field x="3"/>
  </rowFields>
  <rowItems count="7">
    <i>
      <x/>
    </i>
    <i>
      <x v="1"/>
    </i>
    <i>
      <x v="2"/>
    </i>
    <i>
      <x v="3"/>
    </i>
    <i>
      <x v="4"/>
    </i>
    <i>
      <x v="5"/>
    </i>
    <i t="grand">
      <x/>
    </i>
  </rowItems>
  <colItems count="1">
    <i/>
  </colItems>
  <dataFields count="1">
    <dataField name="Sum of TotalSales" fld="8"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B3B69C-9253-4FAB-B616-8E2A5A21FF5C}"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2">
    <pivotField showAll="0"/>
    <pivotField numFmtId="14" showAll="0">
      <items count="24">
        <item x="0"/>
        <item x="3"/>
        <item x="2"/>
        <item x="21"/>
        <item x="5"/>
        <item x="11"/>
        <item x="22"/>
        <item x="16"/>
        <item x="13"/>
        <item x="20"/>
        <item x="4"/>
        <item x="18"/>
        <item x="10"/>
        <item x="7"/>
        <item x="15"/>
        <item x="19"/>
        <item x="9"/>
        <item x="6"/>
        <item x="12"/>
        <item x="17"/>
        <item x="14"/>
        <item x="8"/>
        <item x="1"/>
        <item t="default"/>
      </items>
    </pivotField>
    <pivotField axis="axisRow" showAll="0">
      <items count="5">
        <item x="3"/>
        <item x="0"/>
        <item x="1"/>
        <item x="2"/>
        <item t="default"/>
      </items>
    </pivotField>
    <pivotField showAll="0"/>
    <pivotField showAll="0"/>
    <pivotField showAll="0">
      <items count="3">
        <item x="0"/>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TotalSales" fld="8"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2"/>
          </reference>
        </references>
      </pivotArea>
    </chartFormat>
    <chartFormat chart="5" format="2">
      <pivotArea type="data" outline="0" fieldPosition="0">
        <references count="2">
          <reference field="4294967294" count="1" selected="0">
            <x v="0"/>
          </reference>
          <reference field="2" count="1" selected="0">
            <x v="3"/>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CEB980-6495-4133-ADDF-7657852F4D3F}"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2">
    <pivotField showAll="0"/>
    <pivotField numFmtId="14" showAll="0">
      <items count="24">
        <item x="0"/>
        <item x="3"/>
        <item x="2"/>
        <item x="21"/>
        <item x="5"/>
        <item x="11"/>
        <item x="22"/>
        <item x="16"/>
        <item x="13"/>
        <item x="20"/>
        <item x="4"/>
        <item x="18"/>
        <item x="10"/>
        <item x="7"/>
        <item x="15"/>
        <item x="19"/>
        <item x="9"/>
        <item x="6"/>
        <item x="12"/>
        <item x="17"/>
        <item x="14"/>
        <item x="8"/>
        <item x="1"/>
        <item t="default"/>
      </items>
    </pivotField>
    <pivotField showAll="0"/>
    <pivotField showAll="0"/>
    <pivotField showAll="0"/>
    <pivotField showAll="0">
      <items count="3">
        <item x="0"/>
        <item x="1"/>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0"/>
  </rowFields>
  <rowItems count="12">
    <i>
      <x v="1"/>
    </i>
    <i>
      <x v="3"/>
    </i>
    <i>
      <x v="4"/>
    </i>
    <i>
      <x v="5"/>
    </i>
    <i>
      <x v="6"/>
    </i>
    <i>
      <x v="7"/>
    </i>
    <i>
      <x v="8"/>
    </i>
    <i>
      <x v="9"/>
    </i>
    <i>
      <x v="10"/>
    </i>
    <i>
      <x v="11"/>
    </i>
    <i>
      <x v="12"/>
    </i>
    <i t="grand">
      <x/>
    </i>
  </rowItems>
  <colItems count="1">
    <i/>
  </colItems>
  <dataFields count="1">
    <dataField name="Sum of TotalSales" fld="8" baseField="0" baseItem="0"/>
  </dataFields>
  <formats count="1">
    <format dxfId="8">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79749-67FE-4FDB-A40D-8A05F39D8930}" name="PivotTable4"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C11" firstHeaderRow="1" firstDataRow="1" firstDataCol="1"/>
  <pivotFields count="9">
    <pivotField showAll="0"/>
    <pivotField showAll="0"/>
    <pivotField showAll="0"/>
    <pivotField showAll="0"/>
    <pivotField showAll="0"/>
    <pivotField showAll="0">
      <items count="4">
        <item x="0"/>
        <item x="1"/>
        <item x="2"/>
        <item t="default"/>
      </items>
    </pivotField>
    <pivotField showAll="0"/>
    <pivotField axis="axisRow" showAll="0">
      <items count="8">
        <item x="1"/>
        <item x="4"/>
        <item x="5"/>
        <item x="2"/>
        <item x="3"/>
        <item x="0"/>
        <item h="1" x="6"/>
        <item t="default"/>
      </items>
    </pivotField>
    <pivotField dataField="1" showAll="0"/>
  </pivotFields>
  <rowFields count="1">
    <field x="7"/>
  </rowFields>
  <rowItems count="7">
    <i>
      <x/>
    </i>
    <i>
      <x v="1"/>
    </i>
    <i>
      <x v="2"/>
    </i>
    <i>
      <x v="3"/>
    </i>
    <i>
      <x v="4"/>
    </i>
    <i>
      <x v="5"/>
    </i>
    <i t="grand">
      <x/>
    </i>
  </rowItems>
  <colItems count="1">
    <i/>
  </colItems>
  <dataFields count="1">
    <dataField name="Sum of TotalSales" fld="8" baseField="0" baseItem="0"/>
  </dataFields>
  <chartFormats count="3">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911376-EEA0-4247-80B1-205761B39EC2}" name="PivotTable5"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5" firstHeaderRow="1" firstDataRow="1" firstDataCol="1"/>
  <pivotFields count="9">
    <pivotField dataField="1"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5"/>
  </rowFields>
  <rowItems count="4">
    <i>
      <x/>
    </i>
    <i>
      <x v="1"/>
    </i>
    <i>
      <x v="2"/>
    </i>
    <i t="grand">
      <x/>
    </i>
  </rowItems>
  <colItems count="1">
    <i/>
  </colItems>
  <dataFields count="1">
    <dataField name="Count of OrderID" fld="0"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5" count="1" selected="0">
            <x v="0"/>
          </reference>
        </references>
      </pivotArea>
    </chartFormat>
    <chartFormat chart="17" format="8">
      <pivotArea type="data" outline="0" fieldPosition="0">
        <references count="2">
          <reference field="4294967294" count="1" selected="0">
            <x v="0"/>
          </reference>
          <reference field="5" count="1" selected="0">
            <x v="1"/>
          </reference>
        </references>
      </pivotArea>
    </chartFormat>
    <chartFormat chart="17" format="9">
      <pivotArea type="data" outline="0" fieldPosition="0">
        <references count="2">
          <reference field="4294967294" count="1" selected="0">
            <x v="0"/>
          </reference>
          <reference field="5" count="1" selected="0">
            <x v="2"/>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CFDA1A-1192-4F5E-89C6-4F22833E2A1D}" name="PivotTable7"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12">
    <pivotField dataField="1" showAll="0"/>
    <pivotField numFmtId="14" showAll="0">
      <items count="24">
        <item x="0"/>
        <item x="3"/>
        <item x="2"/>
        <item x="21"/>
        <item x="5"/>
        <item x="11"/>
        <item x="22"/>
        <item x="16"/>
        <item x="13"/>
        <item x="20"/>
        <item x="4"/>
        <item x="18"/>
        <item x="10"/>
        <item x="7"/>
        <item x="15"/>
        <item x="19"/>
        <item x="9"/>
        <item x="6"/>
        <item x="12"/>
        <item x="17"/>
        <item x="14"/>
        <item x="8"/>
        <item x="1"/>
        <item t="default"/>
      </items>
    </pivotField>
    <pivotField showAll="0"/>
    <pivotField showAll="0"/>
    <pivotField showAll="0"/>
    <pivotField axis="axisPage" showAll="0">
      <items count="3">
        <item x="0"/>
        <item x="1"/>
        <item t="default"/>
      </items>
    </pivotField>
    <pivotField numFmtId="166"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Fields count="1">
    <field x="-2"/>
  </colFields>
  <colItems count="2">
    <i>
      <x/>
    </i>
    <i i="1">
      <x v="1"/>
    </i>
  </colItems>
  <pageFields count="1">
    <pageField fld="5" hier="-1"/>
  </pageFields>
  <dataFields count="2">
    <dataField name="Count of OrderID" fld="0" subtotal="count" baseField="0" baseItem="0"/>
    <dataField name="Sum of Total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5582E1-7260-44EA-8BE0-32462C4BBA74}" autoFormatId="16" applyNumberFormats="0" applyBorderFormats="0" applyFontFormats="0" applyPatternFormats="0" applyAlignmentFormats="0" applyWidthHeightFormats="0">
  <queryTableRefresh nextId="12">
    <queryTableFields count="9">
      <queryTableField id="1" name="OrderID" tableColumnId="1"/>
      <queryTableField id="2" name="Date" tableColumnId="2"/>
      <queryTableField id="3" name="Region" tableColumnId="3"/>
      <queryTableField id="4" name="Product" tableColumnId="4"/>
      <queryTableField id="5" name="Quantity" tableColumnId="5"/>
      <queryTableField id="10" name="Order Status" tableColumnId="10"/>
      <queryTableField id="6" name="UnitPrice" tableColumnId="6"/>
      <queryTableField id="7" name="Salesperson" tableColumnId="7"/>
      <queryTableField id="8" name="TotalSale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B1D8EE2F-6C4D-4D01-9758-05D5F865FDFF}" sourceName="Order Status">
  <pivotTables>
    <pivotTable tabId="3" name="PivotTable1"/>
    <pivotTable tabId="6" name="PivotTable4"/>
    <pivotTable tabId="7" name="PivotTable5"/>
  </pivotTables>
  <data>
    <tabular pivotCacheId="1018975826">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80B64554-1621-491D-9BAB-3E27C9796207}" sourceName="Order Status">
  <pivotTables>
    <pivotTable tabId="4" name="PivotTable2"/>
  </pivotTables>
  <data>
    <tabular pivotCacheId="17508592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2" xr10:uid="{2F64956B-BDD0-4E9E-B639-7CFF92DC0465}" sourceName="Order Status">
  <pivotTables>
    <pivotTable tabId="5" name="PivotTable3"/>
  </pivotTables>
  <data>
    <tabular pivotCacheId="1750859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5B7F5F88-A3FA-4432-934E-64AE7200D5BA}" cache="Slicer_Order_Status" caption="Order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1" xr10:uid="{925B9E5A-CD14-448B-9885-CC4CCA154F30}" cache="Slicer_Order_Status1" caption="Order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2" xr10:uid="{6CF2D6DD-1934-4A3D-95C3-EF7D5BBACC93}" cache="Slicer_Order_Status2" caption="Order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70D0F8-F22D-4847-986B-A207DABE9DE2}" name="Product" displayName="Product" ref="A1:I25" tableType="queryTable" totalsRowShown="0">
  <autoFilter ref="A1:I25" xr:uid="{0670D0F8-F22D-4847-986B-A207DABE9DE2}"/>
  <tableColumns count="9">
    <tableColumn id="1" xr3:uid="{12C13E77-4703-4654-9FE4-051AAE4E9E2F}" uniqueName="1" name="OrderID" queryTableFieldId="1" dataDxfId="7"/>
    <tableColumn id="2" xr3:uid="{8DBB7FB0-BA0B-4680-8AD3-1B06BA9B0E52}" uniqueName="2" name="Date" queryTableFieldId="2" dataDxfId="6"/>
    <tableColumn id="3" xr3:uid="{EB43B080-E61B-4093-9A37-1C52A6C1EAD3}" uniqueName="3" name="Region" queryTableFieldId="3" dataDxfId="5"/>
    <tableColumn id="4" xr3:uid="{329657D0-E222-447C-8371-899450C54411}" uniqueName="4" name="Product" queryTableFieldId="4" dataDxfId="4"/>
    <tableColumn id="5" xr3:uid="{01291817-13F8-4FA6-9785-43B54A988A23}" uniqueName="5" name="Quantity" queryTableFieldId="5"/>
    <tableColumn id="10" xr3:uid="{48A0743A-5AC9-4C72-B3B3-43AFA2345472}" uniqueName="10" name="Order Status" queryTableFieldId="10" dataDxfId="3"/>
    <tableColumn id="6" xr3:uid="{6A26BBEF-4747-48A0-9D8F-86B3A0C56D50}" uniqueName="6" name="UnitPrice" queryTableFieldId="6" dataDxfId="2"/>
    <tableColumn id="7" xr3:uid="{616DB248-A3FE-4482-8EDA-488FB8842E70}" uniqueName="7" name="Salesperson" queryTableFieldId="7" dataDxfId="1"/>
    <tableColumn id="8" xr3:uid="{B33E75F3-2800-4E82-9B47-6824C70ED11C}" uniqueName="8" name="TotalSales" queryTableFieldId="8"/>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D7876-047F-460C-8B0A-83D17DA0D4ED}">
  <dimension ref="A2:D10"/>
  <sheetViews>
    <sheetView workbookViewId="0">
      <selection activeCell="B20" sqref="B20"/>
    </sheetView>
  </sheetViews>
  <sheetFormatPr defaultRowHeight="14.4" x14ac:dyDescent="0.3"/>
  <cols>
    <col min="1" max="1" width="12.5546875" bestFit="1" customWidth="1"/>
    <col min="2" max="2" width="16" bestFit="1" customWidth="1"/>
  </cols>
  <sheetData>
    <row r="2" spans="1:4" x14ac:dyDescent="0.3">
      <c r="D2" t="s">
        <v>77</v>
      </c>
    </row>
    <row r="3" spans="1:4" x14ac:dyDescent="0.3">
      <c r="A3" s="5" t="s">
        <v>73</v>
      </c>
      <c r="B3" t="s">
        <v>72</v>
      </c>
    </row>
    <row r="4" spans="1:4" x14ac:dyDescent="0.3">
      <c r="A4" s="6" t="s">
        <v>55</v>
      </c>
      <c r="B4" s="13">
        <v>24563</v>
      </c>
    </row>
    <row r="5" spans="1:4" x14ac:dyDescent="0.3">
      <c r="A5" s="6" t="s">
        <v>56</v>
      </c>
      <c r="B5" s="13">
        <v>0</v>
      </c>
    </row>
    <row r="6" spans="1:4" x14ac:dyDescent="0.3">
      <c r="A6" s="6" t="s">
        <v>57</v>
      </c>
      <c r="B6" s="13">
        <v>557010</v>
      </c>
    </row>
    <row r="7" spans="1:4" x14ac:dyDescent="0.3">
      <c r="A7" s="6" t="s">
        <v>71</v>
      </c>
      <c r="B7" s="13">
        <v>99969</v>
      </c>
    </row>
    <row r="8" spans="1:4" x14ac:dyDescent="0.3">
      <c r="A8" s="6" t="s">
        <v>59</v>
      </c>
      <c r="B8" s="13">
        <v>540000</v>
      </c>
    </row>
    <row r="9" spans="1:4" x14ac:dyDescent="0.3">
      <c r="A9" s="6" t="s">
        <v>58</v>
      </c>
      <c r="B9" s="13">
        <v>1015745</v>
      </c>
    </row>
    <row r="10" spans="1:4" x14ac:dyDescent="0.3">
      <c r="A10" s="6" t="s">
        <v>75</v>
      </c>
      <c r="B10" s="13">
        <v>2237287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E74B1-E93E-4EC3-A0F0-6A2CE974C499}">
  <dimension ref="A3:B8"/>
  <sheetViews>
    <sheetView topLeftCell="A2" zoomScale="115" workbookViewId="0">
      <selection activeCell="D21" sqref="D21"/>
    </sheetView>
  </sheetViews>
  <sheetFormatPr defaultRowHeight="14.4" x14ac:dyDescent="0.3"/>
  <cols>
    <col min="1" max="1" width="12.5546875" bestFit="1" customWidth="1"/>
    <col min="2" max="2" width="16" bestFit="1" customWidth="1"/>
  </cols>
  <sheetData>
    <row r="3" spans="1:2" x14ac:dyDescent="0.3">
      <c r="A3" s="5" t="s">
        <v>73</v>
      </c>
      <c r="B3" t="s">
        <v>72</v>
      </c>
    </row>
    <row r="4" spans="1:2" x14ac:dyDescent="0.3">
      <c r="A4" s="6" t="s">
        <v>54</v>
      </c>
      <c r="B4" s="13">
        <v>445745</v>
      </c>
    </row>
    <row r="5" spans="1:2" x14ac:dyDescent="0.3">
      <c r="A5" s="6" t="s">
        <v>52</v>
      </c>
      <c r="B5" s="13">
        <v>364532</v>
      </c>
    </row>
    <row r="6" spans="1:2" x14ac:dyDescent="0.3">
      <c r="A6" s="6" t="s">
        <v>49</v>
      </c>
      <c r="B6" s="13">
        <v>510000</v>
      </c>
    </row>
    <row r="7" spans="1:2" x14ac:dyDescent="0.3">
      <c r="A7" s="6" t="s">
        <v>51</v>
      </c>
      <c r="B7" s="13">
        <v>917010</v>
      </c>
    </row>
    <row r="8" spans="1:2" x14ac:dyDescent="0.3">
      <c r="A8" s="6" t="s">
        <v>75</v>
      </c>
      <c r="B8" s="13">
        <v>2237287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39DC-5E99-4A0C-8340-3C9BA539A115}">
  <dimension ref="A3:B15"/>
  <sheetViews>
    <sheetView topLeftCell="A3" zoomScale="108" workbookViewId="0">
      <selection activeCell="B14" sqref="B14"/>
    </sheetView>
  </sheetViews>
  <sheetFormatPr defaultRowHeight="14.4" x14ac:dyDescent="0.3"/>
  <cols>
    <col min="1" max="1" width="12.6640625" bestFit="1" customWidth="1"/>
    <col min="2" max="2" width="16.21875" bestFit="1" customWidth="1"/>
  </cols>
  <sheetData>
    <row r="3" spans="1:2" x14ac:dyDescent="0.3">
      <c r="A3" s="5" t="s">
        <v>73</v>
      </c>
      <c r="B3" t="s">
        <v>72</v>
      </c>
    </row>
    <row r="4" spans="1:2" x14ac:dyDescent="0.3">
      <c r="A4" s="6" t="s">
        <v>78</v>
      </c>
      <c r="B4" s="13">
        <v>286040</v>
      </c>
    </row>
    <row r="5" spans="1:2" x14ac:dyDescent="0.3">
      <c r="A5" s="6" t="s">
        <v>79</v>
      </c>
      <c r="B5" s="13">
        <v>540000</v>
      </c>
    </row>
    <row r="6" spans="1:2" x14ac:dyDescent="0.3">
      <c r="A6" s="6" t="s">
        <v>89</v>
      </c>
      <c r="B6" s="13">
        <v>0</v>
      </c>
    </row>
    <row r="7" spans="1:2" x14ac:dyDescent="0.3">
      <c r="A7" s="6" t="s">
        <v>80</v>
      </c>
      <c r="B7" s="13">
        <v>300000</v>
      </c>
    </row>
    <row r="8" spans="1:2" x14ac:dyDescent="0.3">
      <c r="A8" s="6" t="s">
        <v>81</v>
      </c>
      <c r="B8" s="13">
        <v>370939</v>
      </c>
    </row>
    <row r="9" spans="1:2" x14ac:dyDescent="0.3">
      <c r="A9" s="6" t="s">
        <v>90</v>
      </c>
      <c r="B9" s="13">
        <v>0</v>
      </c>
    </row>
    <row r="10" spans="1:2" x14ac:dyDescent="0.3">
      <c r="A10" s="6" t="s">
        <v>91</v>
      </c>
      <c r="B10" s="13">
        <v>0</v>
      </c>
    </row>
    <row r="11" spans="1:2" x14ac:dyDescent="0.3">
      <c r="A11" s="6" t="s">
        <v>82</v>
      </c>
      <c r="B11" s="13">
        <v>715745</v>
      </c>
    </row>
    <row r="12" spans="1:2" x14ac:dyDescent="0.3">
      <c r="A12" s="6" t="s">
        <v>83</v>
      </c>
      <c r="B12" s="13">
        <v>24563</v>
      </c>
    </row>
    <row r="13" spans="1:2" x14ac:dyDescent="0.3">
      <c r="A13" s="6" t="s">
        <v>92</v>
      </c>
      <c r="B13" s="13">
        <v>0</v>
      </c>
    </row>
    <row r="14" spans="1:2" x14ac:dyDescent="0.3">
      <c r="A14" s="6" t="s">
        <v>93</v>
      </c>
      <c r="B14" s="13">
        <v>0</v>
      </c>
    </row>
    <row r="15" spans="1:2" x14ac:dyDescent="0.3">
      <c r="A15" s="6" t="s">
        <v>75</v>
      </c>
      <c r="B15" s="9">
        <v>2237287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0FB11-4C4C-4C9A-A282-8D5DCE83F02C}">
  <dimension ref="A1:C11"/>
  <sheetViews>
    <sheetView workbookViewId="0">
      <selection activeCell="C21" sqref="C21"/>
    </sheetView>
  </sheetViews>
  <sheetFormatPr defaultRowHeight="14.4" x14ac:dyDescent="0.3"/>
  <cols>
    <col min="2" max="2" width="12.5546875" bestFit="1" customWidth="1"/>
    <col min="3" max="3" width="16" bestFit="1" customWidth="1"/>
  </cols>
  <sheetData>
    <row r="1" spans="1:3" x14ac:dyDescent="0.3">
      <c r="A1" s="4"/>
    </row>
    <row r="4" spans="1:3" x14ac:dyDescent="0.3">
      <c r="B4" s="5" t="s">
        <v>73</v>
      </c>
      <c r="C4" t="s">
        <v>72</v>
      </c>
    </row>
    <row r="5" spans="1:3" x14ac:dyDescent="0.3">
      <c r="B5" s="6" t="s">
        <v>63</v>
      </c>
      <c r="C5" s="13">
        <v>270000</v>
      </c>
    </row>
    <row r="6" spans="1:3" x14ac:dyDescent="0.3">
      <c r="B6" s="6" t="s">
        <v>66</v>
      </c>
      <c r="C6" s="13">
        <v>99969</v>
      </c>
    </row>
    <row r="7" spans="1:3" x14ac:dyDescent="0.3">
      <c r="B7" s="6" t="s">
        <v>65</v>
      </c>
      <c r="C7" s="13">
        <v>24563</v>
      </c>
    </row>
    <row r="8" spans="1:3" x14ac:dyDescent="0.3">
      <c r="B8" s="6" t="s">
        <v>64</v>
      </c>
      <c r="C8" s="13">
        <v>270970</v>
      </c>
    </row>
    <row r="9" spans="1:3" x14ac:dyDescent="0.3">
      <c r="B9" s="6" t="s">
        <v>70</v>
      </c>
      <c r="C9" s="13">
        <v>826040</v>
      </c>
    </row>
    <row r="10" spans="1:3" x14ac:dyDescent="0.3">
      <c r="B10" s="6" t="s">
        <v>61</v>
      </c>
      <c r="C10" s="13">
        <v>745745</v>
      </c>
    </row>
    <row r="11" spans="1:3" x14ac:dyDescent="0.3">
      <c r="B11" s="6" t="s">
        <v>75</v>
      </c>
      <c r="C11" s="13">
        <v>2237287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workbookViewId="0">
      <selection activeCell="M13" sqref="M13"/>
    </sheetView>
  </sheetViews>
  <sheetFormatPr defaultRowHeight="14.4" x14ac:dyDescent="0.3"/>
  <cols>
    <col min="1" max="1" width="7.6640625" bestFit="1" customWidth="1"/>
    <col min="2" max="2" width="18.109375" bestFit="1" customWidth="1"/>
    <col min="3" max="3" width="6.77734375" bestFit="1" customWidth="1"/>
    <col min="4" max="4" width="11.109375" bestFit="1" customWidth="1"/>
    <col min="5" max="5" width="8.33203125" bestFit="1" customWidth="1"/>
    <col min="6" max="6" width="8.6640625" bestFit="1" customWidth="1"/>
    <col min="7" max="7" width="11" bestFit="1" customWidth="1"/>
    <col min="8" max="8" width="9.44140625" bestFit="1" customWidth="1"/>
  </cols>
  <sheetData>
    <row r="1" spans="1:8" x14ac:dyDescent="0.3">
      <c r="A1" s="1" t="s">
        <v>0</v>
      </c>
      <c r="B1" s="1" t="s">
        <v>1</v>
      </c>
      <c r="C1" s="1" t="s">
        <v>2</v>
      </c>
      <c r="D1" s="1" t="s">
        <v>3</v>
      </c>
      <c r="E1" s="1" t="s">
        <v>4</v>
      </c>
      <c r="F1" s="1" t="s">
        <v>5</v>
      </c>
      <c r="G1" s="1" t="s">
        <v>6</v>
      </c>
      <c r="H1" s="1" t="s">
        <v>7</v>
      </c>
    </row>
    <row r="2" spans="1:8" x14ac:dyDescent="0.3">
      <c r="A2" t="s">
        <v>8</v>
      </c>
      <c r="B2" s="2">
        <v>44935</v>
      </c>
      <c r="C2" t="s">
        <v>47</v>
      </c>
      <c r="D2" t="s">
        <v>55</v>
      </c>
      <c r="F2" t="s">
        <v>60</v>
      </c>
      <c r="G2" t="s">
        <v>61</v>
      </c>
      <c r="H2">
        <v>0</v>
      </c>
    </row>
    <row r="3" spans="1:8" x14ac:dyDescent="0.3">
      <c r="A3" t="s">
        <v>9</v>
      </c>
      <c r="B3" s="2">
        <v>45180</v>
      </c>
      <c r="C3" t="s">
        <v>48</v>
      </c>
      <c r="D3" t="s">
        <v>56</v>
      </c>
      <c r="G3" t="s">
        <v>62</v>
      </c>
      <c r="H3">
        <v>0</v>
      </c>
    </row>
    <row r="4" spans="1:8" x14ac:dyDescent="0.3">
      <c r="A4" t="s">
        <v>10</v>
      </c>
      <c r="B4" s="2">
        <v>45268</v>
      </c>
      <c r="C4" t="s">
        <v>49</v>
      </c>
      <c r="D4" t="s">
        <v>56</v>
      </c>
      <c r="F4" t="s">
        <v>60</v>
      </c>
      <c r="G4" t="s">
        <v>63</v>
      </c>
      <c r="H4">
        <v>0</v>
      </c>
    </row>
    <row r="5" spans="1:8" x14ac:dyDescent="0.3">
      <c r="A5" t="s">
        <v>11</v>
      </c>
      <c r="B5" s="2">
        <v>44937</v>
      </c>
      <c r="C5" t="s">
        <v>50</v>
      </c>
      <c r="D5" t="s">
        <v>56</v>
      </c>
      <c r="F5">
        <v>48721</v>
      </c>
      <c r="G5" t="s">
        <v>64</v>
      </c>
      <c r="H5">
        <v>0</v>
      </c>
    </row>
    <row r="6" spans="1:8" x14ac:dyDescent="0.3">
      <c r="A6" t="s">
        <v>12</v>
      </c>
      <c r="B6" s="2">
        <v>44936</v>
      </c>
      <c r="C6" t="s">
        <v>51</v>
      </c>
      <c r="D6" t="s">
        <v>57</v>
      </c>
      <c r="E6">
        <v>8</v>
      </c>
      <c r="F6">
        <v>35755</v>
      </c>
      <c r="H6">
        <v>286040</v>
      </c>
    </row>
    <row r="7" spans="1:8" x14ac:dyDescent="0.3">
      <c r="A7" t="s">
        <v>13</v>
      </c>
      <c r="B7" s="2">
        <v>45057</v>
      </c>
      <c r="C7" t="s">
        <v>50</v>
      </c>
      <c r="D7" t="s">
        <v>58</v>
      </c>
      <c r="E7">
        <v>10</v>
      </c>
      <c r="F7" t="s">
        <v>60</v>
      </c>
      <c r="H7">
        <v>300000</v>
      </c>
    </row>
    <row r="8" spans="1:8" x14ac:dyDescent="0.3">
      <c r="A8" t="s">
        <v>14</v>
      </c>
      <c r="B8" s="2">
        <v>45247</v>
      </c>
      <c r="C8" t="s">
        <v>51</v>
      </c>
      <c r="E8">
        <v>9</v>
      </c>
      <c r="G8" t="s">
        <v>65</v>
      </c>
      <c r="H8">
        <v>0</v>
      </c>
    </row>
    <row r="9" spans="1:8" x14ac:dyDescent="0.3">
      <c r="A9" t="s">
        <v>15</v>
      </c>
      <c r="B9" s="2">
        <v>45094</v>
      </c>
      <c r="C9" t="s">
        <v>52</v>
      </c>
      <c r="G9" t="s">
        <v>62</v>
      </c>
      <c r="H9">
        <v>0</v>
      </c>
    </row>
    <row r="10" spans="1:8" x14ac:dyDescent="0.3">
      <c r="A10" t="s">
        <v>16</v>
      </c>
      <c r="B10" s="2">
        <v>44996</v>
      </c>
      <c r="C10" t="s">
        <v>48</v>
      </c>
      <c r="D10" t="s">
        <v>57</v>
      </c>
      <c r="F10" t="s">
        <v>60</v>
      </c>
      <c r="G10" t="s">
        <v>61</v>
      </c>
      <c r="H10">
        <v>0</v>
      </c>
    </row>
    <row r="11" spans="1:8" x14ac:dyDescent="0.3">
      <c r="A11" t="s">
        <v>12</v>
      </c>
      <c r="B11" s="2">
        <v>45078</v>
      </c>
      <c r="C11" t="s">
        <v>53</v>
      </c>
      <c r="D11" t="s">
        <v>57</v>
      </c>
      <c r="E11">
        <v>2</v>
      </c>
      <c r="F11" t="s">
        <v>60</v>
      </c>
      <c r="G11" t="s">
        <v>64</v>
      </c>
      <c r="H11">
        <v>60000</v>
      </c>
    </row>
    <row r="12" spans="1:8" x14ac:dyDescent="0.3">
      <c r="A12" t="s">
        <v>17</v>
      </c>
      <c r="B12" s="2">
        <v>45125</v>
      </c>
      <c r="C12" t="s">
        <v>52</v>
      </c>
      <c r="E12">
        <v>5</v>
      </c>
      <c r="G12" t="s">
        <v>64</v>
      </c>
      <c r="H12">
        <v>0</v>
      </c>
    </row>
    <row r="13" spans="1:8" x14ac:dyDescent="0.3">
      <c r="A13" t="s">
        <v>18</v>
      </c>
      <c r="B13" s="2">
        <v>45185</v>
      </c>
      <c r="C13" t="s">
        <v>49</v>
      </c>
      <c r="D13" t="s">
        <v>58</v>
      </c>
      <c r="E13">
        <v>9</v>
      </c>
      <c r="F13" t="s">
        <v>60</v>
      </c>
      <c r="G13" t="s">
        <v>63</v>
      </c>
      <c r="H13">
        <v>270000</v>
      </c>
    </row>
    <row r="14" spans="1:8" x14ac:dyDescent="0.3">
      <c r="A14" t="s">
        <v>19</v>
      </c>
      <c r="B14" s="2">
        <v>44931</v>
      </c>
      <c r="C14" t="s">
        <v>50</v>
      </c>
      <c r="D14" t="s">
        <v>58</v>
      </c>
      <c r="E14">
        <v>1</v>
      </c>
      <c r="G14" t="s">
        <v>62</v>
      </c>
      <c r="H14">
        <v>0</v>
      </c>
    </row>
    <row r="15" spans="1:8" x14ac:dyDescent="0.3">
      <c r="A15" t="s">
        <v>20</v>
      </c>
      <c r="B15" s="2">
        <v>45128</v>
      </c>
      <c r="C15" t="s">
        <v>51</v>
      </c>
      <c r="D15" t="s">
        <v>56</v>
      </c>
      <c r="F15" t="s">
        <v>60</v>
      </c>
      <c r="G15" t="s">
        <v>66</v>
      </c>
      <c r="H15">
        <v>0</v>
      </c>
    </row>
    <row r="16" spans="1:8" x14ac:dyDescent="0.3">
      <c r="A16" t="s">
        <v>21</v>
      </c>
      <c r="B16" s="2">
        <v>44960</v>
      </c>
      <c r="C16" t="s">
        <v>51</v>
      </c>
      <c r="D16" t="s">
        <v>56</v>
      </c>
      <c r="E16">
        <v>9</v>
      </c>
      <c r="G16" t="s">
        <v>66</v>
      </c>
      <c r="H16">
        <v>0</v>
      </c>
    </row>
    <row r="17" spans="1:8" x14ac:dyDescent="0.3">
      <c r="A17" t="s">
        <v>22</v>
      </c>
      <c r="B17" s="2">
        <v>45243</v>
      </c>
      <c r="C17" t="s">
        <v>52</v>
      </c>
      <c r="D17" t="s">
        <v>59</v>
      </c>
      <c r="E17">
        <v>5</v>
      </c>
      <c r="G17" t="s">
        <v>62</v>
      </c>
      <c r="H17">
        <v>0</v>
      </c>
    </row>
    <row r="18" spans="1:8" x14ac:dyDescent="0.3">
      <c r="A18" t="s">
        <v>23</v>
      </c>
      <c r="B18" s="2">
        <v>45119</v>
      </c>
      <c r="C18" t="s">
        <v>52</v>
      </c>
      <c r="E18">
        <v>3</v>
      </c>
      <c r="H18">
        <v>0</v>
      </c>
    </row>
    <row r="19" spans="1:8" x14ac:dyDescent="0.3">
      <c r="A19" t="s">
        <v>24</v>
      </c>
      <c r="B19" s="2">
        <v>45235</v>
      </c>
      <c r="C19" t="s">
        <v>48</v>
      </c>
      <c r="F19">
        <v>46125</v>
      </c>
      <c r="H19">
        <v>0</v>
      </c>
    </row>
    <row r="20" spans="1:8" x14ac:dyDescent="0.3">
      <c r="A20" t="s">
        <v>25</v>
      </c>
      <c r="B20" s="2">
        <v>45182</v>
      </c>
      <c r="C20" t="s">
        <v>54</v>
      </c>
      <c r="D20" t="s">
        <v>58</v>
      </c>
      <c r="E20">
        <v>5</v>
      </c>
      <c r="F20">
        <v>29149</v>
      </c>
      <c r="G20" t="s">
        <v>61</v>
      </c>
      <c r="H20">
        <v>145745</v>
      </c>
    </row>
    <row r="21" spans="1:8" x14ac:dyDescent="0.3">
      <c r="A21" t="s">
        <v>26</v>
      </c>
      <c r="B21" s="2">
        <v>45094</v>
      </c>
      <c r="C21" t="s">
        <v>47</v>
      </c>
      <c r="E21">
        <v>3</v>
      </c>
      <c r="F21">
        <v>33323</v>
      </c>
      <c r="G21" t="s">
        <v>66</v>
      </c>
      <c r="H21">
        <v>99969</v>
      </c>
    </row>
    <row r="22" spans="1:8" x14ac:dyDescent="0.3">
      <c r="A22" t="s">
        <v>27</v>
      </c>
      <c r="B22" s="2">
        <v>45000</v>
      </c>
      <c r="C22" t="s">
        <v>52</v>
      </c>
      <c r="D22" t="s">
        <v>59</v>
      </c>
      <c r="E22">
        <v>8</v>
      </c>
      <c r="F22" t="s">
        <v>60</v>
      </c>
      <c r="H22">
        <v>240000</v>
      </c>
    </row>
    <row r="23" spans="1:8" x14ac:dyDescent="0.3">
      <c r="A23" t="s">
        <v>28</v>
      </c>
      <c r="B23" s="2">
        <v>44932</v>
      </c>
      <c r="C23" t="s">
        <v>48</v>
      </c>
      <c r="D23" t="s">
        <v>57</v>
      </c>
      <c r="G23" t="s">
        <v>63</v>
      </c>
      <c r="H23">
        <v>0</v>
      </c>
    </row>
    <row r="24" spans="1:8" x14ac:dyDescent="0.3">
      <c r="A24" t="s">
        <v>29</v>
      </c>
      <c r="B24" s="2">
        <v>45193</v>
      </c>
      <c r="C24" t="s">
        <v>48</v>
      </c>
      <c r="D24" t="s">
        <v>58</v>
      </c>
      <c r="E24">
        <v>10</v>
      </c>
      <c r="F24" t="s">
        <v>60</v>
      </c>
      <c r="G24" t="s">
        <v>61</v>
      </c>
      <c r="H24">
        <v>300000</v>
      </c>
    </row>
    <row r="25" spans="1:8" x14ac:dyDescent="0.3">
      <c r="A25" t="s">
        <v>30</v>
      </c>
      <c r="B25" s="2">
        <v>45023</v>
      </c>
      <c r="C25" t="s">
        <v>48</v>
      </c>
      <c r="D25" t="s">
        <v>59</v>
      </c>
      <c r="F25">
        <v>37803</v>
      </c>
      <c r="G25" t="s">
        <v>64</v>
      </c>
      <c r="H25">
        <v>0</v>
      </c>
    </row>
    <row r="26" spans="1:8" x14ac:dyDescent="0.3">
      <c r="A26" t="s">
        <v>31</v>
      </c>
      <c r="B26" s="2">
        <v>45176</v>
      </c>
      <c r="C26" t="s">
        <v>52</v>
      </c>
      <c r="D26" t="s">
        <v>58</v>
      </c>
      <c r="G26" t="s">
        <v>62</v>
      </c>
      <c r="H26">
        <v>0</v>
      </c>
    </row>
    <row r="27" spans="1:8" x14ac:dyDescent="0.3">
      <c r="A27" t="s">
        <v>32</v>
      </c>
      <c r="B27" s="2">
        <v>44968</v>
      </c>
      <c r="C27" t="s">
        <v>49</v>
      </c>
      <c r="D27" t="s">
        <v>57</v>
      </c>
      <c r="E27">
        <v>3</v>
      </c>
      <c r="G27" t="s">
        <v>65</v>
      </c>
      <c r="H27">
        <v>0</v>
      </c>
    </row>
    <row r="28" spans="1:8" x14ac:dyDescent="0.3">
      <c r="A28" t="s">
        <v>33</v>
      </c>
      <c r="B28" s="2">
        <v>44935</v>
      </c>
      <c r="C28" t="s">
        <v>50</v>
      </c>
      <c r="D28" t="s">
        <v>59</v>
      </c>
      <c r="F28">
        <v>37850</v>
      </c>
      <c r="G28" t="s">
        <v>61</v>
      </c>
      <c r="H28">
        <v>0</v>
      </c>
    </row>
    <row r="29" spans="1:8" x14ac:dyDescent="0.3">
      <c r="A29" t="s">
        <v>34</v>
      </c>
      <c r="B29" s="2">
        <v>45231</v>
      </c>
      <c r="C29" t="s">
        <v>50</v>
      </c>
      <c r="D29" t="s">
        <v>59</v>
      </c>
      <c r="F29" t="s">
        <v>60</v>
      </c>
      <c r="H29">
        <v>0</v>
      </c>
    </row>
    <row r="30" spans="1:8" x14ac:dyDescent="0.3">
      <c r="A30" t="s">
        <v>35</v>
      </c>
      <c r="B30" s="2">
        <v>45150</v>
      </c>
      <c r="C30" t="s">
        <v>51</v>
      </c>
      <c r="D30" t="s">
        <v>59</v>
      </c>
      <c r="F30" t="s">
        <v>60</v>
      </c>
      <c r="H30">
        <v>0</v>
      </c>
    </row>
    <row r="31" spans="1:8" x14ac:dyDescent="0.3">
      <c r="A31" t="s">
        <v>36</v>
      </c>
      <c r="B31" s="2">
        <v>45043</v>
      </c>
      <c r="C31" t="s">
        <v>49</v>
      </c>
      <c r="D31" t="s">
        <v>55</v>
      </c>
      <c r="E31">
        <v>1</v>
      </c>
      <c r="G31" t="s">
        <v>62</v>
      </c>
      <c r="H31">
        <v>0</v>
      </c>
    </row>
    <row r="32" spans="1:8" x14ac:dyDescent="0.3">
      <c r="A32" t="s">
        <v>37</v>
      </c>
      <c r="B32" s="2">
        <v>45013</v>
      </c>
      <c r="C32" t="s">
        <v>51</v>
      </c>
      <c r="D32" t="s">
        <v>59</v>
      </c>
      <c r="E32">
        <v>2</v>
      </c>
      <c r="F32" t="s">
        <v>60</v>
      </c>
      <c r="G32" t="s">
        <v>61</v>
      </c>
      <c r="H32">
        <v>60000</v>
      </c>
    </row>
    <row r="33" spans="1:8" x14ac:dyDescent="0.3">
      <c r="A33" t="s">
        <v>38</v>
      </c>
      <c r="B33" s="2">
        <v>45210</v>
      </c>
      <c r="C33" t="s">
        <v>52</v>
      </c>
      <c r="D33" t="s">
        <v>55</v>
      </c>
      <c r="E33">
        <v>1</v>
      </c>
      <c r="F33">
        <v>24563</v>
      </c>
      <c r="G33" t="s">
        <v>65</v>
      </c>
      <c r="H33">
        <v>24563</v>
      </c>
    </row>
    <row r="34" spans="1:8" x14ac:dyDescent="0.3">
      <c r="A34" t="s">
        <v>39</v>
      </c>
      <c r="B34" s="2">
        <v>45224</v>
      </c>
      <c r="C34" t="s">
        <v>48</v>
      </c>
      <c r="D34" t="s">
        <v>58</v>
      </c>
      <c r="E34">
        <v>8</v>
      </c>
      <c r="G34" t="s">
        <v>61</v>
      </c>
      <c r="H34">
        <v>0</v>
      </c>
    </row>
    <row r="35" spans="1:8" x14ac:dyDescent="0.3">
      <c r="A35" t="s">
        <v>40</v>
      </c>
      <c r="B35" s="2">
        <v>45085</v>
      </c>
      <c r="C35" t="s">
        <v>50</v>
      </c>
      <c r="D35" t="s">
        <v>57</v>
      </c>
      <c r="E35">
        <v>10</v>
      </c>
      <c r="F35">
        <v>27097</v>
      </c>
      <c r="G35" t="s">
        <v>64</v>
      </c>
      <c r="H35">
        <v>270970</v>
      </c>
    </row>
    <row r="36" spans="1:8" x14ac:dyDescent="0.3">
      <c r="A36" t="s">
        <v>41</v>
      </c>
      <c r="B36" s="2">
        <v>44958</v>
      </c>
      <c r="C36" t="s">
        <v>51</v>
      </c>
      <c r="G36" t="s">
        <v>63</v>
      </c>
      <c r="H36">
        <v>0</v>
      </c>
    </row>
    <row r="37" spans="1:8" x14ac:dyDescent="0.3">
      <c r="A37" t="s">
        <v>42</v>
      </c>
      <c r="B37" s="2">
        <v>45156</v>
      </c>
      <c r="C37" t="s">
        <v>49</v>
      </c>
      <c r="D37" t="s">
        <v>59</v>
      </c>
      <c r="F37">
        <v>44170</v>
      </c>
      <c r="G37" t="s">
        <v>65</v>
      </c>
      <c r="H37">
        <v>0</v>
      </c>
    </row>
    <row r="38" spans="1:8" x14ac:dyDescent="0.3">
      <c r="A38" t="s">
        <v>43</v>
      </c>
      <c r="B38" s="2">
        <v>45189</v>
      </c>
      <c r="C38" t="s">
        <v>54</v>
      </c>
      <c r="G38" t="s">
        <v>65</v>
      </c>
      <c r="H38">
        <v>0</v>
      </c>
    </row>
    <row r="39" spans="1:8" x14ac:dyDescent="0.3">
      <c r="A39" t="s">
        <v>44</v>
      </c>
      <c r="B39" s="2">
        <v>45039</v>
      </c>
      <c r="C39" t="s">
        <v>47</v>
      </c>
      <c r="D39" t="s">
        <v>59</v>
      </c>
      <c r="F39" t="s">
        <v>60</v>
      </c>
      <c r="G39" t="s">
        <v>65</v>
      </c>
      <c r="H39">
        <v>0</v>
      </c>
    </row>
    <row r="40" spans="1:8" x14ac:dyDescent="0.3">
      <c r="A40" t="s">
        <v>45</v>
      </c>
      <c r="B40" s="2">
        <v>44946</v>
      </c>
      <c r="C40" t="s">
        <v>52</v>
      </c>
      <c r="D40" t="s">
        <v>55</v>
      </c>
      <c r="F40" t="s">
        <v>60</v>
      </c>
      <c r="G40" t="s">
        <v>61</v>
      </c>
      <c r="H40">
        <v>0</v>
      </c>
    </row>
    <row r="41" spans="1:8" x14ac:dyDescent="0.3">
      <c r="A41" t="s">
        <v>46</v>
      </c>
      <c r="B41" s="2">
        <v>45010</v>
      </c>
      <c r="C41" t="s">
        <v>53</v>
      </c>
      <c r="D41" t="s">
        <v>59</v>
      </c>
      <c r="E41">
        <v>8</v>
      </c>
      <c r="F41" t="s">
        <v>60</v>
      </c>
      <c r="G41" t="s">
        <v>61</v>
      </c>
      <c r="H41">
        <v>240000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E3EA6-1364-43F5-8159-8DB05769159E}">
  <dimension ref="A1:M14"/>
  <sheetViews>
    <sheetView zoomScale="92" workbookViewId="0">
      <selection activeCell="K6" sqref="K6"/>
    </sheetView>
  </sheetViews>
  <sheetFormatPr defaultRowHeight="14.4" x14ac:dyDescent="0.3"/>
  <cols>
    <col min="1" max="1" width="13.109375" bestFit="1" customWidth="1"/>
    <col min="2" max="2" width="15.88671875" bestFit="1" customWidth="1"/>
    <col min="3" max="3" width="14.5546875" bestFit="1" customWidth="1"/>
    <col min="7" max="7" width="11" bestFit="1" customWidth="1"/>
    <col min="9" max="9" width="13.44140625" bestFit="1" customWidth="1"/>
  </cols>
  <sheetData>
    <row r="1" spans="1:13" x14ac:dyDescent="0.3">
      <c r="A1" s="5" t="s">
        <v>73</v>
      </c>
      <c r="B1" t="s">
        <v>84</v>
      </c>
    </row>
    <row r="2" spans="1:13" x14ac:dyDescent="0.3">
      <c r="A2" s="6" t="s">
        <v>68</v>
      </c>
      <c r="B2" s="13">
        <v>13</v>
      </c>
    </row>
    <row r="3" spans="1:13" x14ac:dyDescent="0.3">
      <c r="A3" s="6" t="s">
        <v>69</v>
      </c>
      <c r="B3" s="13">
        <v>11</v>
      </c>
    </row>
    <row r="4" spans="1:13" x14ac:dyDescent="0.3">
      <c r="A4" s="6" t="s">
        <v>74</v>
      </c>
      <c r="B4" s="13"/>
    </row>
    <row r="5" spans="1:13" x14ac:dyDescent="0.3">
      <c r="A5" s="6" t="s">
        <v>75</v>
      </c>
      <c r="B5" s="13">
        <v>24</v>
      </c>
    </row>
    <row r="8" spans="1:13" x14ac:dyDescent="0.3">
      <c r="C8" t="s">
        <v>85</v>
      </c>
      <c r="E8" t="s">
        <v>86</v>
      </c>
      <c r="G8" t="s">
        <v>87</v>
      </c>
      <c r="I8" t="s">
        <v>88</v>
      </c>
    </row>
    <row r="9" spans="1:13" x14ac:dyDescent="0.3">
      <c r="C9" s="11">
        <f>SUM(Product[TotalSales])</f>
        <v>2237287</v>
      </c>
      <c r="E9">
        <f>COUNTA(Product[OrderID])</f>
        <v>24</v>
      </c>
      <c r="G9" s="7">
        <f>(B2/E9)</f>
        <v>0.54166666666666663</v>
      </c>
      <c r="I9" s="12">
        <f>C9/COUNTIF(Product[Order Status],"Completed")</f>
        <v>203389.72727272726</v>
      </c>
    </row>
    <row r="10" spans="1:13" x14ac:dyDescent="0.3">
      <c r="M10">
        <f>C9/COUNTIF(Product[Order Status],"Completed")</f>
        <v>203389.72727272726</v>
      </c>
    </row>
    <row r="14" spans="1:13" x14ac:dyDescent="0.3">
      <c r="B14" s="8">
        <f>C9/COUNTA(Product[Order Status],"Completed")</f>
        <v>89491.48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82D6-5DA9-40B9-844D-9A2D60A8838D}">
  <dimension ref="F17"/>
  <sheetViews>
    <sheetView showGridLines="0" showRowColHeaders="0" tabSelected="1" zoomScale="62" workbookViewId="0">
      <selection activeCell="Z12" sqref="Z12"/>
    </sheetView>
  </sheetViews>
  <sheetFormatPr defaultRowHeight="14.4" x14ac:dyDescent="0.3"/>
  <cols>
    <col min="3" max="3" width="9" customWidth="1"/>
  </cols>
  <sheetData>
    <row r="17" spans="6:6" ht="15.6" x14ac:dyDescent="0.3">
      <c r="F17" s="10"/>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xr2:uid="{E9B5580C-802A-4322-ACE2-D688FC9F0CA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'6'!C15:C20</xm:f>
              <xm:sqref>C25</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B48C4-12B5-4DDE-A14E-A1913A328AA3}">
  <dimension ref="A1:B4"/>
  <sheetViews>
    <sheetView workbookViewId="0">
      <selection activeCell="C17" sqref="C17"/>
    </sheetView>
  </sheetViews>
  <sheetFormatPr defaultRowHeight="14.4" x14ac:dyDescent="0.3"/>
  <cols>
    <col min="1" max="1" width="15.44140625" bestFit="1" customWidth="1"/>
    <col min="2" max="2" width="16" bestFit="1" customWidth="1"/>
    <col min="3" max="3" width="19.88671875" bestFit="1" customWidth="1"/>
  </cols>
  <sheetData>
    <row r="1" spans="1:2" x14ac:dyDescent="0.3">
      <c r="A1" s="5" t="s">
        <v>67</v>
      </c>
      <c r="B1" t="s">
        <v>76</v>
      </c>
    </row>
    <row r="3" spans="1:2" x14ac:dyDescent="0.3">
      <c r="A3" t="s">
        <v>84</v>
      </c>
      <c r="B3" t="s">
        <v>72</v>
      </c>
    </row>
    <row r="4" spans="1:2" x14ac:dyDescent="0.3">
      <c r="A4">
        <v>24</v>
      </c>
      <c r="B4">
        <v>2237287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F86B-93EF-4682-A08B-0042206E8C45}">
  <dimension ref="A1:I25"/>
  <sheetViews>
    <sheetView workbookViewId="0">
      <selection activeCell="I6" sqref="I6"/>
    </sheetView>
  </sheetViews>
  <sheetFormatPr defaultRowHeight="14.4" x14ac:dyDescent="0.3"/>
  <cols>
    <col min="1" max="1" width="9.77734375" bestFit="1" customWidth="1"/>
    <col min="2" max="2" width="10.33203125" bestFit="1" customWidth="1"/>
    <col min="3" max="3" width="9" bestFit="1" customWidth="1"/>
    <col min="4" max="4" width="11.109375" bestFit="1" customWidth="1"/>
    <col min="5" max="5" width="10.5546875" bestFit="1" customWidth="1"/>
    <col min="6" max="6" width="13.6640625" bestFit="1" customWidth="1"/>
    <col min="7" max="7" width="12" bestFit="1" customWidth="1"/>
    <col min="8" max="8" width="13.21875" bestFit="1" customWidth="1"/>
    <col min="9" max="9" width="11.6640625" customWidth="1"/>
    <col min="10" max="10" width="12.109375" bestFit="1" customWidth="1"/>
  </cols>
  <sheetData>
    <row r="1" spans="1:9" x14ac:dyDescent="0.3">
      <c r="A1" t="s">
        <v>0</v>
      </c>
      <c r="B1" t="s">
        <v>1</v>
      </c>
      <c r="C1" t="s">
        <v>2</v>
      </c>
      <c r="D1" t="s">
        <v>3</v>
      </c>
      <c r="E1" t="s">
        <v>4</v>
      </c>
      <c r="F1" t="s">
        <v>67</v>
      </c>
      <c r="G1" s="9" t="s">
        <v>5</v>
      </c>
      <c r="H1" t="s">
        <v>6</v>
      </c>
      <c r="I1" t="s">
        <v>7</v>
      </c>
    </row>
    <row r="2" spans="1:9" x14ac:dyDescent="0.3">
      <c r="A2" t="s">
        <v>8</v>
      </c>
      <c r="B2" s="3">
        <v>44935</v>
      </c>
      <c r="C2" t="s">
        <v>52</v>
      </c>
      <c r="D2" t="s">
        <v>55</v>
      </c>
      <c r="E2">
        <v>0</v>
      </c>
      <c r="F2" t="s">
        <v>68</v>
      </c>
      <c r="G2" s="9">
        <v>30000</v>
      </c>
      <c r="H2" t="s">
        <v>61</v>
      </c>
      <c r="I2">
        <v>0</v>
      </c>
    </row>
    <row r="3" spans="1:9" x14ac:dyDescent="0.3">
      <c r="A3" t="s">
        <v>10</v>
      </c>
      <c r="B3" s="3">
        <v>45268</v>
      </c>
      <c r="C3" t="s">
        <v>49</v>
      </c>
      <c r="D3" t="s">
        <v>56</v>
      </c>
      <c r="E3">
        <v>0</v>
      </c>
      <c r="F3" t="s">
        <v>68</v>
      </c>
      <c r="G3" s="9">
        <v>30000</v>
      </c>
      <c r="H3" t="s">
        <v>63</v>
      </c>
      <c r="I3">
        <v>0</v>
      </c>
    </row>
    <row r="4" spans="1:9" x14ac:dyDescent="0.3">
      <c r="A4" t="s">
        <v>11</v>
      </c>
      <c r="B4" s="3">
        <v>44937</v>
      </c>
      <c r="C4" t="s">
        <v>51</v>
      </c>
      <c r="D4" t="s">
        <v>56</v>
      </c>
      <c r="E4">
        <v>0</v>
      </c>
      <c r="F4" t="s">
        <v>68</v>
      </c>
      <c r="G4" s="9">
        <v>48721</v>
      </c>
      <c r="H4" t="s">
        <v>64</v>
      </c>
      <c r="I4">
        <v>0</v>
      </c>
    </row>
    <row r="5" spans="1:9" x14ac:dyDescent="0.3">
      <c r="A5" t="s">
        <v>12</v>
      </c>
      <c r="B5" s="3">
        <v>44936</v>
      </c>
      <c r="C5" t="s">
        <v>51</v>
      </c>
      <c r="D5" t="s">
        <v>57</v>
      </c>
      <c r="E5">
        <v>8</v>
      </c>
      <c r="F5" t="s">
        <v>69</v>
      </c>
      <c r="G5" s="9">
        <v>35755</v>
      </c>
      <c r="H5" t="s">
        <v>70</v>
      </c>
      <c r="I5">
        <v>286040</v>
      </c>
    </row>
    <row r="6" spans="1:9" x14ac:dyDescent="0.3">
      <c r="A6" t="s">
        <v>13</v>
      </c>
      <c r="B6" s="3">
        <v>45057</v>
      </c>
      <c r="C6" t="s">
        <v>51</v>
      </c>
      <c r="D6" t="s">
        <v>58</v>
      </c>
      <c r="E6">
        <v>10</v>
      </c>
      <c r="F6" t="s">
        <v>69</v>
      </c>
      <c r="G6" s="9">
        <v>30000</v>
      </c>
      <c r="H6" t="s">
        <v>70</v>
      </c>
      <c r="I6">
        <v>300000</v>
      </c>
    </row>
    <row r="7" spans="1:9" x14ac:dyDescent="0.3">
      <c r="A7" t="s">
        <v>16</v>
      </c>
      <c r="B7" s="3">
        <v>44996</v>
      </c>
      <c r="C7" t="s">
        <v>54</v>
      </c>
      <c r="D7" t="s">
        <v>57</v>
      </c>
      <c r="E7">
        <v>0</v>
      </c>
      <c r="F7" t="s">
        <v>68</v>
      </c>
      <c r="G7" s="9">
        <v>30000</v>
      </c>
      <c r="H7" t="s">
        <v>61</v>
      </c>
      <c r="I7">
        <v>0</v>
      </c>
    </row>
    <row r="8" spans="1:9" x14ac:dyDescent="0.3">
      <c r="A8" t="s">
        <v>18</v>
      </c>
      <c r="B8" s="3">
        <v>45185</v>
      </c>
      <c r="C8" t="s">
        <v>49</v>
      </c>
      <c r="D8" t="s">
        <v>58</v>
      </c>
      <c r="E8">
        <v>9</v>
      </c>
      <c r="F8" t="s">
        <v>69</v>
      </c>
      <c r="G8" s="9">
        <v>30000</v>
      </c>
      <c r="H8" t="s">
        <v>63</v>
      </c>
      <c r="I8">
        <v>270000</v>
      </c>
    </row>
    <row r="9" spans="1:9" x14ac:dyDescent="0.3">
      <c r="A9" t="s">
        <v>20</v>
      </c>
      <c r="B9" s="3">
        <v>45128</v>
      </c>
      <c r="C9" t="s">
        <v>51</v>
      </c>
      <c r="D9" t="s">
        <v>56</v>
      </c>
      <c r="E9">
        <v>0</v>
      </c>
      <c r="F9" t="s">
        <v>68</v>
      </c>
      <c r="G9" s="9">
        <v>30000</v>
      </c>
      <c r="H9" t="s">
        <v>66</v>
      </c>
      <c r="I9">
        <v>0</v>
      </c>
    </row>
    <row r="10" spans="1:9" x14ac:dyDescent="0.3">
      <c r="A10" t="s">
        <v>24</v>
      </c>
      <c r="B10" s="3">
        <v>45235</v>
      </c>
      <c r="C10" t="s">
        <v>54</v>
      </c>
      <c r="D10" t="s">
        <v>71</v>
      </c>
      <c r="E10">
        <v>0</v>
      </c>
      <c r="F10" t="s">
        <v>68</v>
      </c>
      <c r="G10" s="9">
        <v>46125</v>
      </c>
      <c r="H10" t="s">
        <v>70</v>
      </c>
      <c r="I10">
        <v>0</v>
      </c>
    </row>
    <row r="11" spans="1:9" x14ac:dyDescent="0.3">
      <c r="A11" t="s">
        <v>25</v>
      </c>
      <c r="B11" s="3">
        <v>45182</v>
      </c>
      <c r="C11" t="s">
        <v>54</v>
      </c>
      <c r="D11" t="s">
        <v>58</v>
      </c>
      <c r="E11">
        <v>5</v>
      </c>
      <c r="F11" t="s">
        <v>69</v>
      </c>
      <c r="G11" s="9">
        <v>29149</v>
      </c>
      <c r="H11" t="s">
        <v>61</v>
      </c>
      <c r="I11">
        <v>145745</v>
      </c>
    </row>
    <row r="12" spans="1:9" x14ac:dyDescent="0.3">
      <c r="A12" t="s">
        <v>26</v>
      </c>
      <c r="B12" s="3">
        <v>45094</v>
      </c>
      <c r="C12" t="s">
        <v>52</v>
      </c>
      <c r="D12" t="s">
        <v>71</v>
      </c>
      <c r="E12">
        <v>3</v>
      </c>
      <c r="F12" t="s">
        <v>69</v>
      </c>
      <c r="G12" s="9">
        <v>33323</v>
      </c>
      <c r="H12" t="s">
        <v>66</v>
      </c>
      <c r="I12">
        <v>99969</v>
      </c>
    </row>
    <row r="13" spans="1:9" x14ac:dyDescent="0.3">
      <c r="A13" t="s">
        <v>27</v>
      </c>
      <c r="B13" s="3">
        <v>45000</v>
      </c>
      <c r="C13" t="s">
        <v>52</v>
      </c>
      <c r="D13" t="s">
        <v>59</v>
      </c>
      <c r="E13">
        <v>8</v>
      </c>
      <c r="F13" t="s">
        <v>69</v>
      </c>
      <c r="G13" s="9">
        <v>30000</v>
      </c>
      <c r="H13" t="s">
        <v>70</v>
      </c>
      <c r="I13">
        <v>240000</v>
      </c>
    </row>
    <row r="14" spans="1:9" x14ac:dyDescent="0.3">
      <c r="A14" t="s">
        <v>29</v>
      </c>
      <c r="B14" s="3">
        <v>45193</v>
      </c>
      <c r="C14" t="s">
        <v>54</v>
      </c>
      <c r="D14" t="s">
        <v>58</v>
      </c>
      <c r="E14">
        <v>10</v>
      </c>
      <c r="F14" t="s">
        <v>69</v>
      </c>
      <c r="G14" s="9">
        <v>30000</v>
      </c>
      <c r="H14" t="s">
        <v>61</v>
      </c>
      <c r="I14">
        <v>300000</v>
      </c>
    </row>
    <row r="15" spans="1:9" x14ac:dyDescent="0.3">
      <c r="A15" t="s">
        <v>30</v>
      </c>
      <c r="B15" s="3">
        <v>45023</v>
      </c>
      <c r="C15" t="s">
        <v>54</v>
      </c>
      <c r="D15" t="s">
        <v>59</v>
      </c>
      <c r="E15">
        <v>0</v>
      </c>
      <c r="F15" t="s">
        <v>68</v>
      </c>
      <c r="G15" s="9">
        <v>37803</v>
      </c>
      <c r="H15" t="s">
        <v>64</v>
      </c>
      <c r="I15">
        <v>0</v>
      </c>
    </row>
    <row r="16" spans="1:9" x14ac:dyDescent="0.3">
      <c r="A16" t="s">
        <v>33</v>
      </c>
      <c r="B16" s="3">
        <v>44935</v>
      </c>
      <c r="C16" t="s">
        <v>51</v>
      </c>
      <c r="D16" t="s">
        <v>59</v>
      </c>
      <c r="E16">
        <v>0</v>
      </c>
      <c r="F16" t="s">
        <v>68</v>
      </c>
      <c r="G16" s="9">
        <v>37850</v>
      </c>
      <c r="H16" t="s">
        <v>61</v>
      </c>
      <c r="I16">
        <v>0</v>
      </c>
    </row>
    <row r="17" spans="1:9" x14ac:dyDescent="0.3">
      <c r="A17" t="s">
        <v>34</v>
      </c>
      <c r="B17" s="3">
        <v>45231</v>
      </c>
      <c r="C17" t="s">
        <v>51</v>
      </c>
      <c r="D17" t="s">
        <v>59</v>
      </c>
      <c r="E17">
        <v>0</v>
      </c>
      <c r="F17" t="s">
        <v>68</v>
      </c>
      <c r="G17" s="9">
        <v>30000</v>
      </c>
      <c r="H17" t="s">
        <v>70</v>
      </c>
      <c r="I17">
        <v>0</v>
      </c>
    </row>
    <row r="18" spans="1:9" x14ac:dyDescent="0.3">
      <c r="A18" t="s">
        <v>35</v>
      </c>
      <c r="B18" s="3">
        <v>45150</v>
      </c>
      <c r="C18" t="s">
        <v>51</v>
      </c>
      <c r="D18" t="s">
        <v>59</v>
      </c>
      <c r="E18">
        <v>0</v>
      </c>
      <c r="F18" t="s">
        <v>68</v>
      </c>
      <c r="G18" s="9">
        <v>30000</v>
      </c>
      <c r="H18" t="s">
        <v>70</v>
      </c>
      <c r="I18">
        <v>0</v>
      </c>
    </row>
    <row r="19" spans="1:9" x14ac:dyDescent="0.3">
      <c r="A19" t="s">
        <v>37</v>
      </c>
      <c r="B19" s="3">
        <v>45013</v>
      </c>
      <c r="C19" t="s">
        <v>51</v>
      </c>
      <c r="D19" t="s">
        <v>59</v>
      </c>
      <c r="E19">
        <v>2</v>
      </c>
      <c r="F19" t="s">
        <v>69</v>
      </c>
      <c r="G19" s="9">
        <v>30000</v>
      </c>
      <c r="H19" t="s">
        <v>61</v>
      </c>
      <c r="I19">
        <v>60000</v>
      </c>
    </row>
    <row r="20" spans="1:9" x14ac:dyDescent="0.3">
      <c r="A20" t="s">
        <v>38</v>
      </c>
      <c r="B20" s="3">
        <v>45210</v>
      </c>
      <c r="C20" t="s">
        <v>52</v>
      </c>
      <c r="D20" t="s">
        <v>55</v>
      </c>
      <c r="E20">
        <v>1</v>
      </c>
      <c r="F20" t="s">
        <v>69</v>
      </c>
      <c r="G20" s="9">
        <v>24563</v>
      </c>
      <c r="H20" t="s">
        <v>65</v>
      </c>
      <c r="I20">
        <v>24563</v>
      </c>
    </row>
    <row r="21" spans="1:9" x14ac:dyDescent="0.3">
      <c r="A21" t="s">
        <v>40</v>
      </c>
      <c r="B21" s="3">
        <v>45085</v>
      </c>
      <c r="C21" t="s">
        <v>51</v>
      </c>
      <c r="D21" t="s">
        <v>57</v>
      </c>
      <c r="E21">
        <v>10</v>
      </c>
      <c r="F21" t="s">
        <v>69</v>
      </c>
      <c r="G21" s="9">
        <v>27097</v>
      </c>
      <c r="H21" t="s">
        <v>64</v>
      </c>
      <c r="I21">
        <v>270970</v>
      </c>
    </row>
    <row r="22" spans="1:9" x14ac:dyDescent="0.3">
      <c r="A22" t="s">
        <v>42</v>
      </c>
      <c r="B22" s="3">
        <v>45156</v>
      </c>
      <c r="C22" t="s">
        <v>49</v>
      </c>
      <c r="D22" t="s">
        <v>59</v>
      </c>
      <c r="E22">
        <v>0</v>
      </c>
      <c r="F22" t="s">
        <v>68</v>
      </c>
      <c r="G22" s="9">
        <v>44170</v>
      </c>
      <c r="H22" t="s">
        <v>65</v>
      </c>
      <c r="I22">
        <v>0</v>
      </c>
    </row>
    <row r="23" spans="1:9" x14ac:dyDescent="0.3">
      <c r="A23" t="s">
        <v>44</v>
      </c>
      <c r="B23" s="3">
        <v>45039</v>
      </c>
      <c r="C23" t="s">
        <v>52</v>
      </c>
      <c r="D23" t="s">
        <v>59</v>
      </c>
      <c r="E23">
        <v>0</v>
      </c>
      <c r="F23" t="s">
        <v>68</v>
      </c>
      <c r="G23" s="9">
        <v>30000</v>
      </c>
      <c r="H23" t="s">
        <v>65</v>
      </c>
      <c r="I23">
        <v>0</v>
      </c>
    </row>
    <row r="24" spans="1:9" x14ac:dyDescent="0.3">
      <c r="A24" t="s">
        <v>45</v>
      </c>
      <c r="B24" s="3">
        <v>44946</v>
      </c>
      <c r="C24" t="s">
        <v>52</v>
      </c>
      <c r="D24" t="s">
        <v>55</v>
      </c>
      <c r="E24">
        <v>0</v>
      </c>
      <c r="F24" t="s">
        <v>68</v>
      </c>
      <c r="G24" s="9">
        <v>30000</v>
      </c>
      <c r="H24" t="s">
        <v>61</v>
      </c>
      <c r="I24">
        <v>0</v>
      </c>
    </row>
    <row r="25" spans="1:9" x14ac:dyDescent="0.3">
      <c r="A25" t="s">
        <v>46</v>
      </c>
      <c r="B25" s="3">
        <v>45010</v>
      </c>
      <c r="C25" t="s">
        <v>49</v>
      </c>
      <c r="D25" t="s">
        <v>59</v>
      </c>
      <c r="E25">
        <v>8</v>
      </c>
      <c r="F25" t="s">
        <v>69</v>
      </c>
      <c r="G25" s="9">
        <v>30000</v>
      </c>
      <c r="H25" t="s">
        <v>61</v>
      </c>
      <c r="I25">
        <v>240000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20ADBA-858B-46ED-A9E7-FC8FEA6C34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vt:lpstr>
      <vt:lpstr>2</vt:lpstr>
      <vt:lpstr>3</vt:lpstr>
      <vt:lpstr>4</vt:lpstr>
      <vt:lpstr>Sheet1</vt:lpstr>
      <vt:lpstr>5</vt:lpstr>
      <vt:lpstr>6</vt:lpstr>
      <vt:lpstr>Sheet9</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suruthisri</dc:creator>
  <cp:lastModifiedBy>Suruthi Sri</cp:lastModifiedBy>
  <dcterms:created xsi:type="dcterms:W3CDTF">2025-09-06T06:06:37Z</dcterms:created>
  <dcterms:modified xsi:type="dcterms:W3CDTF">2025-09-06T13:56:23Z</dcterms:modified>
</cp:coreProperties>
</file>